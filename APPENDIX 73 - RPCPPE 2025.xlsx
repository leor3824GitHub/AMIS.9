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Supply\Supply 2025\PPE &amp; SEMEX AO 12.31.2025\"/>
    </mc:Choice>
  </mc:AlternateContent>
  <bookViews>
    <workbookView xWindow="480" yWindow="435" windowWidth="19815" windowHeight="7650" firstSheet="1" activeTab="1"/>
  </bookViews>
  <sheets>
    <sheet name="transmittal" sheetId="2" state="hidden" r:id="rId1"/>
    <sheet name="RPCPPE" sheetId="1" r:id="rId2"/>
    <sheet name="Caperig-1" sheetId="16" r:id="rId3"/>
    <sheet name="Mendoza-2" sheetId="17" r:id="rId4"/>
    <sheet name="Mula-3" sheetId="18" r:id="rId5"/>
    <sheet name="Jariol-4" sheetId="19" r:id="rId6"/>
    <sheet name="Casio-5" sheetId="20" r:id="rId7"/>
    <sheet name="Ravelo-6" sheetId="21" r:id="rId8"/>
    <sheet name="Awing-7" sheetId="22" r:id="rId9"/>
    <sheet name="Bacanggoy-8" sheetId="23" r:id="rId10"/>
    <sheet name="Sabarre-9" sheetId="24" r:id="rId11"/>
    <sheet name="PIF for COA" sheetId="5" state="hidden" r:id="rId12"/>
    <sheet name="AJ Mendoza" sheetId="6" state="hidden" r:id="rId13"/>
    <sheet name="AJ Mendoza.CE" sheetId="7" state="hidden" r:id="rId14"/>
    <sheet name="AJ Mendoza.FFB" sheetId="8" state="hidden" r:id="rId15"/>
    <sheet name="AJ Mendoza.Final" sheetId="9" state="hidden" r:id="rId16"/>
    <sheet name="G Mula" sheetId="11" state="hidden" r:id="rId17"/>
    <sheet name="R. Bacanggoy" sheetId="10" state="hidden" r:id="rId18"/>
    <sheet name="V De Vera" sheetId="12" state="hidden" r:id="rId19"/>
    <sheet name="R. Caperig" sheetId="13" state="hidden" r:id="rId20"/>
    <sheet name="L. Awing" sheetId="15" state="hidden" r:id="rId21"/>
    <sheet name="J. Jariol" sheetId="14" state="hidden" r:id="rId22"/>
    <sheet name="PIF-Fire" sheetId="3" state="hidden" r:id="rId23"/>
    <sheet name="PIF-Floater" sheetId="4" state="hidden" r:id="rId24"/>
  </sheets>
  <definedNames>
    <definedName name="_xlnm._FilterDatabase" localSheetId="12" hidden="1">'AJ Mendoza'!$K$1:$K$39</definedName>
    <definedName name="_xlnm._FilterDatabase" localSheetId="13" hidden="1">'AJ Mendoza.CE'!$K$1:$K$34</definedName>
    <definedName name="_xlnm._FilterDatabase" localSheetId="14" hidden="1">'AJ Mendoza.FFB'!$K$1:$K$37</definedName>
    <definedName name="_xlnm._FilterDatabase" localSheetId="15" hidden="1">'AJ Mendoza.Final'!$K$1:$K$67</definedName>
    <definedName name="_xlnm._FilterDatabase" localSheetId="16" hidden="1">'G Mula'!$K$1:$K$67</definedName>
    <definedName name="_xlnm._FilterDatabase" localSheetId="21" hidden="1">'J. Jariol'!$K$1:$K$68</definedName>
    <definedName name="_xlnm._FilterDatabase" localSheetId="20" hidden="1">'L. Awing'!$K$1:$K$38</definedName>
    <definedName name="_xlnm._FilterDatabase" localSheetId="17" hidden="1">'R. Bacanggoy'!$K$1:$K$38</definedName>
    <definedName name="_xlnm._FilterDatabase" localSheetId="19" hidden="1">'R. Caperig'!$K$1:$K$37</definedName>
    <definedName name="_xlnm._FilterDatabase" localSheetId="1" hidden="1">RPCPPE!$A$8:$R$89</definedName>
    <definedName name="_xlnm._FilterDatabase" localSheetId="18" hidden="1">'V De Vera'!$K$1:$K$68</definedName>
    <definedName name="_xlnm.Print_Area" localSheetId="12">'AJ Mendoza'!$B$1:$R$32</definedName>
    <definedName name="_xlnm.Print_Area" localSheetId="13">'AJ Mendoza.CE'!$B$1:$R$27</definedName>
    <definedName name="_xlnm.Print_Area" localSheetId="14">'AJ Mendoza.FFB'!$B$1:$R$30</definedName>
    <definedName name="_xlnm.Print_Area" localSheetId="15">'AJ Mendoza.Final'!$B$1:$R$60</definedName>
    <definedName name="_xlnm.Print_Area" localSheetId="16">'G Mula'!$B$1:$Q$60</definedName>
    <definedName name="_xlnm.Print_Area" localSheetId="21">'J. Jariol'!$B$1:$Q$61</definedName>
    <definedName name="_xlnm.Print_Area" localSheetId="20">'L. Awing'!$B$1:$Q$31</definedName>
    <definedName name="_xlnm.Print_Area" localSheetId="11">'PIF for COA'!$A$1:$J$66</definedName>
    <definedName name="_xlnm.Print_Area" localSheetId="22">'PIF-Fire'!$A$1:$J$372</definedName>
    <definedName name="_xlnm.Print_Area" localSheetId="23">'PIF-Floater'!$A$1:$J$329</definedName>
    <definedName name="_xlnm.Print_Area" localSheetId="17">'R. Bacanggoy'!$B$1:$Q$31</definedName>
    <definedName name="_xlnm.Print_Area" localSheetId="19">'R. Caperig'!$B$1:$Q$30</definedName>
    <definedName name="_xlnm.Print_Area" localSheetId="1">RPCPPE!$B$1:$Q$95</definedName>
    <definedName name="_xlnm.Print_Area" localSheetId="0">transmittal!$A$1:$G$52</definedName>
    <definedName name="_xlnm.Print_Area" localSheetId="18">'V De Vera'!$B$1:$Q$61</definedName>
    <definedName name="_xlnm.Print_Titles" localSheetId="12">'AJ Mendoza'!$13:$13</definedName>
    <definedName name="_xlnm.Print_Titles" localSheetId="13">'AJ Mendoza.CE'!$12:$12</definedName>
    <definedName name="_xlnm.Print_Titles" localSheetId="14">'AJ Mendoza.FFB'!$12:$12</definedName>
    <definedName name="_xlnm.Print_Titles" localSheetId="15">'AJ Mendoza.Final'!$11:$11</definedName>
    <definedName name="_xlnm.Print_Titles" localSheetId="16">'G Mula'!$11:$11</definedName>
    <definedName name="_xlnm.Print_Titles" localSheetId="21">'J. Jariol'!$12:$12</definedName>
    <definedName name="_xlnm.Print_Titles" localSheetId="20">'L. Awing'!$12:$12</definedName>
    <definedName name="_xlnm.Print_Titles" localSheetId="11">'PIF for COA'!$8:$10</definedName>
    <definedName name="_xlnm.Print_Titles" localSheetId="22">'PIF-Fire'!$8:$10</definedName>
    <definedName name="_xlnm.Print_Titles" localSheetId="23">'PIF-Floater'!$8:$10</definedName>
    <definedName name="_xlnm.Print_Titles" localSheetId="17">'R. Bacanggoy'!$12:$12</definedName>
    <definedName name="_xlnm.Print_Titles" localSheetId="19">'R. Caperig'!$12:$12</definedName>
    <definedName name="_xlnm.Print_Titles" localSheetId="1">RPCPPE!$8:$8</definedName>
    <definedName name="_xlnm.Print_Titles" localSheetId="18">'V De Vera'!$12:$12</definedName>
  </definedNames>
  <calcPr calcId="152511"/>
</workbook>
</file>

<file path=xl/calcChain.xml><?xml version="1.0" encoding="utf-8"?>
<calcChain xmlns="http://schemas.openxmlformats.org/spreadsheetml/2006/main">
  <c r="I88" i="1" l="1"/>
  <c r="I70" i="1"/>
  <c r="I49" i="1"/>
  <c r="I38" i="1"/>
  <c r="I33" i="1"/>
  <c r="I26" i="1"/>
  <c r="I20" i="1"/>
  <c r="I13" i="1"/>
  <c r="B16" i="17" l="1"/>
  <c r="C16" i="17"/>
  <c r="D16" i="17"/>
  <c r="E16" i="17"/>
  <c r="F16" i="17" s="1"/>
  <c r="A16" i="17"/>
  <c r="H13" i="24" l="1"/>
  <c r="E13" i="24"/>
  <c r="F13" i="24" s="1"/>
  <c r="D13" i="24"/>
  <c r="C13" i="24"/>
  <c r="B13" i="24"/>
  <c r="A13" i="24"/>
  <c r="B9" i="24"/>
  <c r="H13" i="23"/>
  <c r="E13" i="23"/>
  <c r="F13" i="23" s="1"/>
  <c r="C13" i="23"/>
  <c r="B13" i="23"/>
  <c r="A13" i="23"/>
  <c r="B9" i="23"/>
  <c r="H13" i="22"/>
  <c r="E13" i="22"/>
  <c r="F13" i="22" s="1"/>
  <c r="D13" i="22"/>
  <c r="C13" i="22"/>
  <c r="B13" i="22"/>
  <c r="A13" i="22"/>
  <c r="B9" i="22"/>
  <c r="A13" i="21"/>
  <c r="B13" i="21"/>
  <c r="C13" i="21"/>
  <c r="D13" i="21"/>
  <c r="E13" i="21"/>
  <c r="F13" i="21" s="1"/>
  <c r="H13" i="21"/>
  <c r="B9" i="21"/>
  <c r="A13" i="20"/>
  <c r="B13" i="20"/>
  <c r="C13" i="20"/>
  <c r="D13" i="20"/>
  <c r="E13" i="20"/>
  <c r="F13" i="20" s="1"/>
  <c r="H13" i="20"/>
  <c r="B9" i="20"/>
  <c r="H13" i="19"/>
  <c r="E13" i="19"/>
  <c r="F13" i="19" s="1"/>
  <c r="D13" i="19"/>
  <c r="C13" i="19"/>
  <c r="B13" i="19"/>
  <c r="A13" i="19"/>
  <c r="B9" i="19"/>
  <c r="A16" i="18"/>
  <c r="B16" i="18"/>
  <c r="C16" i="18"/>
  <c r="D16" i="18"/>
  <c r="E16" i="18"/>
  <c r="F16" i="18" s="1"/>
  <c r="H16" i="18"/>
  <c r="A17" i="18"/>
  <c r="B17" i="18"/>
  <c r="C17" i="18"/>
  <c r="D17" i="18"/>
  <c r="E17" i="18"/>
  <c r="F17" i="18" s="1"/>
  <c r="H17" i="18"/>
  <c r="A18" i="18"/>
  <c r="B18" i="18"/>
  <c r="C18" i="18"/>
  <c r="D18" i="18"/>
  <c r="E18" i="18"/>
  <c r="F18" i="18" s="1"/>
  <c r="H18" i="18"/>
  <c r="A19" i="18"/>
  <c r="B19" i="18"/>
  <c r="C19" i="18"/>
  <c r="D19" i="18"/>
  <c r="E19" i="18"/>
  <c r="F19" i="18" s="1"/>
  <c r="H19" i="18"/>
  <c r="A20" i="18"/>
  <c r="B20" i="18"/>
  <c r="C20" i="18"/>
  <c r="D20" i="18"/>
  <c r="E20" i="18"/>
  <c r="F20" i="18" s="1"/>
  <c r="H20" i="18"/>
  <c r="A15" i="18"/>
  <c r="B15" i="18"/>
  <c r="C15" i="18"/>
  <c r="D15" i="18"/>
  <c r="E15" i="18"/>
  <c r="F15" i="18" s="1"/>
  <c r="H15" i="18"/>
  <c r="H14" i="18"/>
  <c r="E14" i="18"/>
  <c r="F14" i="18" s="1"/>
  <c r="D14" i="18"/>
  <c r="C14" i="18"/>
  <c r="B14" i="18"/>
  <c r="A14" i="18"/>
  <c r="H13" i="18"/>
  <c r="E13" i="18"/>
  <c r="F13" i="18" s="1"/>
  <c r="D13" i="18"/>
  <c r="C13" i="18"/>
  <c r="B13" i="18"/>
  <c r="A13" i="18"/>
  <c r="B9" i="18"/>
  <c r="A23" i="17" l="1"/>
  <c r="B23" i="17"/>
  <c r="C23" i="17"/>
  <c r="D23" i="17"/>
  <c r="E23" i="17"/>
  <c r="F23" i="17" s="1"/>
  <c r="H23" i="17"/>
  <c r="H22" i="17"/>
  <c r="E22" i="17"/>
  <c r="F22" i="17" s="1"/>
  <c r="D22" i="17"/>
  <c r="C22" i="17"/>
  <c r="B22" i="17"/>
  <c r="A22" i="17"/>
  <c r="A21" i="17"/>
  <c r="B21" i="17"/>
  <c r="C21" i="17"/>
  <c r="D21" i="17"/>
  <c r="E21" i="17"/>
  <c r="F21" i="17" s="1"/>
  <c r="H21" i="17"/>
  <c r="H20" i="17"/>
  <c r="E20" i="17"/>
  <c r="F20" i="17" s="1"/>
  <c r="D20" i="17"/>
  <c r="C20" i="17"/>
  <c r="B20" i="17"/>
  <c r="A20" i="17"/>
  <c r="A17" i="17"/>
  <c r="B17" i="17"/>
  <c r="C17" i="17"/>
  <c r="E17" i="17"/>
  <c r="F17" i="17" s="1"/>
  <c r="H17" i="17"/>
  <c r="A18" i="17"/>
  <c r="B18" i="17"/>
  <c r="C18" i="17"/>
  <c r="D18" i="17"/>
  <c r="E18" i="17"/>
  <c r="F18" i="17" s="1"/>
  <c r="H18" i="17"/>
  <c r="A19" i="17"/>
  <c r="B19" i="17"/>
  <c r="C19" i="17"/>
  <c r="D19" i="17"/>
  <c r="E19" i="17"/>
  <c r="F19" i="17" s="1"/>
  <c r="H19" i="17"/>
  <c r="H15" i="17"/>
  <c r="E15" i="17"/>
  <c r="F15" i="17" s="1"/>
  <c r="D15" i="17"/>
  <c r="C15" i="17"/>
  <c r="B15" i="17"/>
  <c r="A15" i="17"/>
  <c r="H14" i="17"/>
  <c r="E14" i="17"/>
  <c r="F14" i="17" s="1"/>
  <c r="D14" i="17"/>
  <c r="C14" i="17"/>
  <c r="B14" i="17"/>
  <c r="A14" i="17"/>
  <c r="H13" i="17"/>
  <c r="E13" i="17"/>
  <c r="F13" i="17" s="1"/>
  <c r="D13" i="17"/>
  <c r="C13" i="17"/>
  <c r="B13" i="17"/>
  <c r="A13" i="17"/>
  <c r="B9" i="17"/>
  <c r="A17" i="16"/>
  <c r="B17" i="16"/>
  <c r="C17" i="16"/>
  <c r="D17" i="16"/>
  <c r="E17" i="16"/>
  <c r="F17" i="16" s="1"/>
  <c r="H17" i="16"/>
  <c r="H16" i="16"/>
  <c r="E16" i="16"/>
  <c r="F16" i="16" s="1"/>
  <c r="D16" i="16"/>
  <c r="C16" i="16"/>
  <c r="B16" i="16"/>
  <c r="A16" i="16"/>
  <c r="H15" i="16"/>
  <c r="E15" i="16"/>
  <c r="F15" i="16" s="1"/>
  <c r="D15" i="16"/>
  <c r="C15" i="16"/>
  <c r="B15" i="16"/>
  <c r="A15" i="16"/>
  <c r="A14" i="16"/>
  <c r="H14" i="16"/>
  <c r="E14" i="16"/>
  <c r="F14" i="16" s="1"/>
  <c r="D14" i="16"/>
  <c r="C14" i="16"/>
  <c r="B14" i="16"/>
  <c r="H13" i="16"/>
  <c r="E13" i="16"/>
  <c r="F13" i="16" s="1"/>
  <c r="D13" i="16"/>
  <c r="C13" i="16"/>
  <c r="B13" i="16"/>
  <c r="A13" i="16"/>
  <c r="D34" i="16"/>
  <c r="D33" i="16"/>
  <c r="B9" i="16" l="1"/>
  <c r="D72" i="1" l="1"/>
  <c r="D13" i="23" s="1"/>
  <c r="D28" i="1" l="1"/>
  <c r="D17" i="17" s="1"/>
  <c r="I55" i="14" l="1"/>
  <c r="I54" i="14"/>
  <c r="I51" i="14"/>
  <c r="I42" i="14"/>
  <c r="I35" i="14"/>
  <c r="I30" i="14"/>
  <c r="D29" i="14"/>
  <c r="I26" i="14"/>
  <c r="I21" i="14"/>
  <c r="I17" i="14"/>
  <c r="I42" i="12"/>
  <c r="I35" i="12"/>
  <c r="I30" i="12"/>
  <c r="D29" i="12"/>
  <c r="I26" i="12"/>
  <c r="I21" i="12"/>
  <c r="I17" i="12"/>
  <c r="I53" i="11"/>
  <c r="I50" i="11"/>
  <c r="I41" i="11"/>
  <c r="I34" i="11"/>
  <c r="I29" i="11"/>
  <c r="D28" i="11"/>
  <c r="I25" i="11"/>
  <c r="I20" i="11"/>
  <c r="I16" i="11"/>
  <c r="I17" i="8"/>
  <c r="I53" i="9"/>
  <c r="I50" i="9"/>
  <c r="I41" i="9"/>
  <c r="I34" i="9"/>
  <c r="I29" i="9"/>
  <c r="D28" i="9"/>
  <c r="I25" i="9"/>
  <c r="I20" i="9"/>
  <c r="I16" i="9"/>
  <c r="D16" i="8"/>
  <c r="I26" i="6"/>
  <c r="I54" i="11" l="1"/>
  <c r="A11" i="5" l="1"/>
  <c r="I89" i="1"/>
  <c r="G327" i="3"/>
  <c r="G328" i="3"/>
  <c r="H329" i="3"/>
  <c r="F328" i="3"/>
  <c r="F327" i="3"/>
  <c r="E328" i="3"/>
  <c r="E327" i="3"/>
  <c r="B328" i="3"/>
  <c r="B327" i="3"/>
  <c r="A326" i="3"/>
  <c r="H325" i="3"/>
  <c r="H23" i="5"/>
  <c r="G21" i="5"/>
  <c r="G22" i="5"/>
  <c r="G20" i="5"/>
  <c r="F21" i="5"/>
  <c r="F22" i="5"/>
  <c r="F20" i="5"/>
  <c r="E21" i="5"/>
  <c r="E22" i="5"/>
  <c r="E20" i="5"/>
  <c r="B21" i="5"/>
  <c r="B22" i="5"/>
  <c r="H18" i="5"/>
  <c r="B20" i="5"/>
  <c r="A19" i="5"/>
  <c r="H56" i="5"/>
  <c r="G55" i="5"/>
  <c r="G56" i="5" s="1"/>
  <c r="F55" i="5"/>
  <c r="B55" i="5"/>
  <c r="A54" i="5"/>
  <c r="G52" i="5"/>
  <c r="F52" i="5"/>
  <c r="E52" i="5"/>
  <c r="B52" i="5"/>
  <c r="G51" i="5"/>
  <c r="F51" i="5"/>
  <c r="E51" i="5"/>
  <c r="B51" i="5"/>
  <c r="G50" i="5"/>
  <c r="F50" i="5"/>
  <c r="E50" i="5"/>
  <c r="B50" i="5"/>
  <c r="G49" i="5"/>
  <c r="F49" i="5"/>
  <c r="E49" i="5"/>
  <c r="B49" i="5"/>
  <c r="G48" i="5"/>
  <c r="H48" i="5" s="1"/>
  <c r="F48" i="5"/>
  <c r="E48" i="5"/>
  <c r="B48" i="5"/>
  <c r="G47" i="5"/>
  <c r="H47" i="5" s="1"/>
  <c r="F47" i="5"/>
  <c r="E47" i="5"/>
  <c r="B47" i="5"/>
  <c r="G46" i="5"/>
  <c r="H46" i="5" s="1"/>
  <c r="F46" i="5"/>
  <c r="E46" i="5"/>
  <c r="B46" i="5"/>
  <c r="A45" i="5"/>
  <c r="H44" i="5"/>
  <c r="G43" i="5"/>
  <c r="F43" i="5"/>
  <c r="E43" i="5"/>
  <c r="B43" i="5"/>
  <c r="G42" i="5"/>
  <c r="F42" i="5"/>
  <c r="E42" i="5"/>
  <c r="B42" i="5"/>
  <c r="G41" i="5"/>
  <c r="F41" i="5"/>
  <c r="E41" i="5"/>
  <c r="B41" i="5"/>
  <c r="G40" i="5"/>
  <c r="F40" i="5"/>
  <c r="E40" i="5"/>
  <c r="B40" i="5"/>
  <c r="G39" i="5"/>
  <c r="F39" i="5"/>
  <c r="E39" i="5"/>
  <c r="B39" i="5"/>
  <c r="A38" i="5"/>
  <c r="G36" i="5"/>
  <c r="F36" i="5"/>
  <c r="E36" i="5"/>
  <c r="B36" i="5"/>
  <c r="G35" i="5"/>
  <c r="F35" i="5"/>
  <c r="E35" i="5"/>
  <c r="B35" i="5"/>
  <c r="G34" i="5"/>
  <c r="H34" i="5" s="1"/>
  <c r="H37" i="5" s="1"/>
  <c r="F34" i="5"/>
  <c r="E34" i="5"/>
  <c r="B34" i="5"/>
  <c r="A33" i="5"/>
  <c r="H32" i="5"/>
  <c r="G31" i="5"/>
  <c r="F31" i="5"/>
  <c r="E31" i="5"/>
  <c r="G30" i="5"/>
  <c r="F30" i="5"/>
  <c r="B30" i="5"/>
  <c r="A29" i="5"/>
  <c r="H28" i="5"/>
  <c r="G28" i="5"/>
  <c r="A24" i="5"/>
  <c r="G17" i="5"/>
  <c r="F17" i="5"/>
  <c r="E17" i="5"/>
  <c r="B17" i="5"/>
  <c r="G16" i="5"/>
  <c r="F16" i="5"/>
  <c r="B16" i="5"/>
  <c r="A15" i="5"/>
  <c r="H13" i="5"/>
  <c r="G13" i="5"/>
  <c r="F13" i="5"/>
  <c r="E13" i="5"/>
  <c r="B13" i="5"/>
  <c r="H12" i="5"/>
  <c r="H14" i="5" s="1"/>
  <c r="G12" i="5"/>
  <c r="F12" i="5"/>
  <c r="E12" i="5"/>
  <c r="B12" i="5"/>
  <c r="G329" i="3" l="1"/>
  <c r="G23" i="5"/>
  <c r="G14" i="5"/>
  <c r="G44" i="5"/>
  <c r="G32" i="5"/>
  <c r="G18" i="5"/>
  <c r="G53" i="5"/>
  <c r="G37" i="5"/>
  <c r="H53" i="5"/>
  <c r="H57" i="5" s="1"/>
  <c r="G334" i="3"/>
  <c r="H320" i="4"/>
  <c r="G319" i="4"/>
  <c r="G320" i="4" s="1"/>
  <c r="F319" i="4"/>
  <c r="E319" i="4"/>
  <c r="B319" i="4"/>
  <c r="A318" i="4"/>
  <c r="G317" i="4"/>
  <c r="G57" i="5" l="1"/>
  <c r="H362" i="3"/>
  <c r="H350" i="3"/>
  <c r="H338" i="3"/>
  <c r="H334" i="3"/>
  <c r="H320" i="3"/>
  <c r="H319" i="3"/>
  <c r="H321" i="3" s="1"/>
  <c r="G336" i="3" l="1"/>
  <c r="G337" i="3"/>
  <c r="G340" i="3"/>
  <c r="G341" i="3"/>
  <c r="G342" i="3"/>
  <c r="G345" i="3"/>
  <c r="G346" i="3"/>
  <c r="G347" i="3"/>
  <c r="G348" i="3"/>
  <c r="G349" i="3"/>
  <c r="G352" i="3"/>
  <c r="G353" i="3"/>
  <c r="H353" i="3" s="1"/>
  <c r="G354" i="3"/>
  <c r="H354" i="3" s="1"/>
  <c r="G355" i="3"/>
  <c r="G356" i="3"/>
  <c r="G357" i="3"/>
  <c r="G358" i="3"/>
  <c r="G361" i="3"/>
  <c r="G362" i="3" s="1"/>
  <c r="G323" i="3"/>
  <c r="G324" i="3"/>
  <c r="G320" i="3"/>
  <c r="G319" i="3"/>
  <c r="F361" i="3"/>
  <c r="F352" i="3"/>
  <c r="F353" i="3"/>
  <c r="F354" i="3"/>
  <c r="F355" i="3"/>
  <c r="F356" i="3"/>
  <c r="F357" i="3"/>
  <c r="F358" i="3"/>
  <c r="F345" i="3"/>
  <c r="F346" i="3"/>
  <c r="F347" i="3"/>
  <c r="F348" i="3"/>
  <c r="F349" i="3"/>
  <c r="F340" i="3"/>
  <c r="F341" i="3"/>
  <c r="F342" i="3"/>
  <c r="F336" i="3"/>
  <c r="F337" i="3"/>
  <c r="F320" i="3"/>
  <c r="F323" i="3"/>
  <c r="F324" i="3"/>
  <c r="F319" i="3"/>
  <c r="E320" i="3"/>
  <c r="E324" i="3"/>
  <c r="E337" i="3"/>
  <c r="E340" i="3"/>
  <c r="E341" i="3"/>
  <c r="E342" i="3"/>
  <c r="E345" i="3"/>
  <c r="E346" i="3"/>
  <c r="E347" i="3"/>
  <c r="E348" i="3"/>
  <c r="E349" i="3"/>
  <c r="E352" i="3"/>
  <c r="E353" i="3"/>
  <c r="E354" i="3"/>
  <c r="E355" i="3"/>
  <c r="E356" i="3"/>
  <c r="E357" i="3"/>
  <c r="E358" i="3"/>
  <c r="E319" i="3"/>
  <c r="B320" i="3"/>
  <c r="B323" i="3"/>
  <c r="B324" i="3"/>
  <c r="B336" i="3"/>
  <c r="B340" i="3"/>
  <c r="B341" i="3"/>
  <c r="B342" i="3"/>
  <c r="B345" i="3"/>
  <c r="B346" i="3"/>
  <c r="B347" i="3"/>
  <c r="B348" i="3"/>
  <c r="B349" i="3"/>
  <c r="B352" i="3"/>
  <c r="B353" i="3"/>
  <c r="B354" i="3"/>
  <c r="B355" i="3"/>
  <c r="B356" i="3"/>
  <c r="B357" i="3"/>
  <c r="B358" i="3"/>
  <c r="B361" i="3"/>
  <c r="B319" i="3"/>
  <c r="A360" i="3"/>
  <c r="A339" i="3"/>
  <c r="A344" i="3"/>
  <c r="A351" i="3"/>
  <c r="A322" i="3"/>
  <c r="A330" i="3"/>
  <c r="A335" i="3"/>
  <c r="A318" i="3"/>
  <c r="G317" i="3"/>
  <c r="G325" i="3" l="1"/>
  <c r="G321" i="3"/>
  <c r="G338" i="3"/>
  <c r="H352" i="3"/>
  <c r="H359" i="3" s="1"/>
  <c r="G359" i="3"/>
  <c r="G350" i="3"/>
  <c r="H340" i="3"/>
  <c r="H343" i="3" s="1"/>
  <c r="G343" i="3"/>
  <c r="H363" i="3" l="1"/>
  <c r="B31" i="5"/>
  <c r="B337" i="3"/>
  <c r="G363" i="3"/>
</calcChain>
</file>

<file path=xl/comments1.xml><?xml version="1.0" encoding="utf-8"?>
<comments xmlns="http://schemas.openxmlformats.org/spreadsheetml/2006/main">
  <authors>
    <author>PMO</author>
  </authors>
  <commentList>
    <comment ref="L33" authorId="0" shapeId="0">
      <text>
        <r>
          <rPr>
            <b/>
            <sz val="9"/>
            <color indexed="81"/>
            <rFont val="Tahoma"/>
            <family val="2"/>
          </rPr>
          <t>PMO:</t>
        </r>
        <r>
          <rPr>
            <sz val="9"/>
            <color indexed="81"/>
            <rFont val="Tahoma"/>
            <family val="2"/>
          </rPr>
          <t xml:space="preserve">
Total + 18,200+99,971.58
</t>
        </r>
      </text>
    </comment>
    <comment ref="O33" authorId="0" shapeId="0">
      <text>
        <r>
          <rPr>
            <b/>
            <sz val="9"/>
            <color indexed="81"/>
            <rFont val="Tahoma"/>
            <family val="2"/>
          </rPr>
          <t>PMO:</t>
        </r>
        <r>
          <rPr>
            <sz val="9"/>
            <color indexed="81"/>
            <rFont val="Tahoma"/>
            <family val="2"/>
          </rPr>
          <t xml:space="preserve">
Total + 18,200+99,971.58
</t>
        </r>
      </text>
    </comment>
  </commentList>
</comments>
</file>

<file path=xl/comments2.xml><?xml version="1.0" encoding="utf-8"?>
<comments xmlns="http://schemas.openxmlformats.org/spreadsheetml/2006/main">
  <authors>
    <author>PMO</author>
  </authors>
  <commentList>
    <comment ref="L17" authorId="0" shapeId="0">
      <text>
        <r>
          <rPr>
            <b/>
            <sz val="9"/>
            <color indexed="81"/>
            <rFont val="Tahoma"/>
            <family val="2"/>
          </rPr>
          <t>PMO:</t>
        </r>
        <r>
          <rPr>
            <sz val="9"/>
            <color indexed="81"/>
            <rFont val="Tahoma"/>
            <family val="2"/>
          </rPr>
          <t xml:space="preserve">
Total + 18,200+99,971.58
</t>
        </r>
      </text>
    </comment>
    <comment ref="O17" authorId="0" shapeId="0">
      <text>
        <r>
          <rPr>
            <b/>
            <sz val="9"/>
            <color indexed="81"/>
            <rFont val="Tahoma"/>
            <family val="2"/>
          </rPr>
          <t>PMO:</t>
        </r>
        <r>
          <rPr>
            <sz val="9"/>
            <color indexed="81"/>
            <rFont val="Tahoma"/>
            <family val="2"/>
          </rPr>
          <t xml:space="preserve">
Total + 18,200+99,971.58
</t>
        </r>
      </text>
    </comment>
  </commentList>
</comments>
</file>

<file path=xl/comments3.xml><?xml version="1.0" encoding="utf-8"?>
<comments xmlns="http://schemas.openxmlformats.org/spreadsheetml/2006/main">
  <authors>
    <author>PMO</author>
  </authors>
  <commentList>
    <comment ref="L29" authorId="0" shapeId="0">
      <text>
        <r>
          <rPr>
            <b/>
            <sz val="9"/>
            <color indexed="81"/>
            <rFont val="Tahoma"/>
            <family val="2"/>
          </rPr>
          <t>PMO:</t>
        </r>
        <r>
          <rPr>
            <sz val="9"/>
            <color indexed="81"/>
            <rFont val="Tahoma"/>
            <family val="2"/>
          </rPr>
          <t xml:space="preserve">
Total + 18,200+99,971.58
</t>
        </r>
      </text>
    </comment>
    <comment ref="O29" authorId="0" shapeId="0">
      <text>
        <r>
          <rPr>
            <b/>
            <sz val="9"/>
            <color indexed="81"/>
            <rFont val="Tahoma"/>
            <family val="2"/>
          </rPr>
          <t>PMO:</t>
        </r>
        <r>
          <rPr>
            <sz val="9"/>
            <color indexed="81"/>
            <rFont val="Tahoma"/>
            <family val="2"/>
          </rPr>
          <t xml:space="preserve">
Total + 18,200+99,971.58
</t>
        </r>
      </text>
    </comment>
  </commentList>
</comments>
</file>

<file path=xl/comments4.xml><?xml version="1.0" encoding="utf-8"?>
<comments xmlns="http://schemas.openxmlformats.org/spreadsheetml/2006/main">
  <authors>
    <author>PMO</author>
  </authors>
  <commentList>
    <comment ref="L29" authorId="0" shapeId="0">
      <text>
        <r>
          <rPr>
            <b/>
            <sz val="9"/>
            <color indexed="81"/>
            <rFont val="Tahoma"/>
            <family val="2"/>
          </rPr>
          <t>PMO:</t>
        </r>
        <r>
          <rPr>
            <sz val="9"/>
            <color indexed="81"/>
            <rFont val="Tahoma"/>
            <family val="2"/>
          </rPr>
          <t xml:space="preserve">
Total + 18,200+99,971.58
</t>
        </r>
      </text>
    </comment>
    <comment ref="O29" authorId="0" shapeId="0">
      <text>
        <r>
          <rPr>
            <b/>
            <sz val="9"/>
            <color indexed="81"/>
            <rFont val="Tahoma"/>
            <family val="2"/>
          </rPr>
          <t>PMO:</t>
        </r>
        <r>
          <rPr>
            <sz val="9"/>
            <color indexed="81"/>
            <rFont val="Tahoma"/>
            <family val="2"/>
          </rPr>
          <t xml:space="preserve">
Total + 18,200+99,971.58
</t>
        </r>
      </text>
    </comment>
  </commentList>
</comments>
</file>

<file path=xl/comments5.xml><?xml version="1.0" encoding="utf-8"?>
<comments xmlns="http://schemas.openxmlformats.org/spreadsheetml/2006/main">
  <authors>
    <author>PMO</author>
  </authors>
  <commentList>
    <comment ref="L30" authorId="0" shapeId="0">
      <text>
        <r>
          <rPr>
            <b/>
            <sz val="9"/>
            <color indexed="81"/>
            <rFont val="Tahoma"/>
            <family val="2"/>
          </rPr>
          <t>PMO:</t>
        </r>
        <r>
          <rPr>
            <sz val="9"/>
            <color indexed="81"/>
            <rFont val="Tahoma"/>
            <family val="2"/>
          </rPr>
          <t xml:space="preserve">
Total + 18,200+99,971.58
</t>
        </r>
      </text>
    </comment>
    <comment ref="O30" authorId="0" shapeId="0">
      <text>
        <r>
          <rPr>
            <b/>
            <sz val="9"/>
            <color indexed="81"/>
            <rFont val="Tahoma"/>
            <family val="2"/>
          </rPr>
          <t>PMO:</t>
        </r>
        <r>
          <rPr>
            <sz val="9"/>
            <color indexed="81"/>
            <rFont val="Tahoma"/>
            <family val="2"/>
          </rPr>
          <t xml:space="preserve">
Total + 18,200+99,971.58
</t>
        </r>
      </text>
    </comment>
  </commentList>
</comments>
</file>

<file path=xl/comments6.xml><?xml version="1.0" encoding="utf-8"?>
<comments xmlns="http://schemas.openxmlformats.org/spreadsheetml/2006/main">
  <authors>
    <author>PMO</author>
  </authors>
  <commentList>
    <comment ref="L30" authorId="0" shapeId="0">
      <text>
        <r>
          <rPr>
            <b/>
            <sz val="9"/>
            <color indexed="81"/>
            <rFont val="Tahoma"/>
            <family val="2"/>
          </rPr>
          <t>PMO:</t>
        </r>
        <r>
          <rPr>
            <sz val="9"/>
            <color indexed="81"/>
            <rFont val="Tahoma"/>
            <family val="2"/>
          </rPr>
          <t xml:space="preserve">
Total + 18,200+99,971.58
</t>
        </r>
      </text>
    </comment>
    <comment ref="O30" authorId="0" shapeId="0">
      <text>
        <r>
          <rPr>
            <b/>
            <sz val="9"/>
            <color indexed="81"/>
            <rFont val="Tahoma"/>
            <family val="2"/>
          </rPr>
          <t>PMO:</t>
        </r>
        <r>
          <rPr>
            <sz val="9"/>
            <color indexed="81"/>
            <rFont val="Tahoma"/>
            <family val="2"/>
          </rPr>
          <t xml:space="preserve">
Total + 18,200+99,971.58
</t>
        </r>
      </text>
    </comment>
  </commentList>
</comments>
</file>

<file path=xl/sharedStrings.xml><?xml version="1.0" encoding="utf-8"?>
<sst xmlns="http://schemas.openxmlformats.org/spreadsheetml/2006/main" count="4525" uniqueCount="805">
  <si>
    <t>OSMUNDO R. GUINTO JR.</t>
  </si>
  <si>
    <t>Date Acquired</t>
  </si>
  <si>
    <t>LOCATION</t>
  </si>
  <si>
    <t>ACCOUNTABLE OFFICER</t>
  </si>
  <si>
    <t>PHOTO LINK</t>
  </si>
  <si>
    <t>2018-NFA-00B-BS-A-0028.5</t>
  </si>
  <si>
    <t>Regional Office</t>
  </si>
  <si>
    <t>AMIELOU JANE G. MENDOZA</t>
  </si>
  <si>
    <t>Common Storage Room ( Supply)</t>
  </si>
  <si>
    <t>ROOM AIRCONDITIONER, SPLIT TYPE-WALL MOUNTED, 2.0 HP, W/ INVERTER , PANASONIC</t>
  </si>
  <si>
    <t>2012-NFA-0B0-OE-C-010</t>
  </si>
  <si>
    <t>AIRCONDITIONER , PACKED TYPE-FLOOR MOUNTED , 3 TONS,  KOPPEL</t>
  </si>
  <si>
    <t>2012-NFA-0B0-OE-C-011</t>
  </si>
  <si>
    <t>UE323210</t>
  </si>
  <si>
    <t>Office Lobby</t>
  </si>
  <si>
    <t>2012-NFA-0B0-OE-C-013</t>
  </si>
  <si>
    <t>KE248331</t>
  </si>
  <si>
    <t>CHILLER, 2 DOOR SHOWCASE TYPE, CAPACITY 1,000 LTRS</t>
  </si>
  <si>
    <t>2016-NFA-00B-OE-T-003</t>
  </si>
  <si>
    <t>LOVELLA MAY AWING</t>
  </si>
  <si>
    <t>SERVER, HP PROLIANT (UPGRADED)</t>
  </si>
  <si>
    <t>2007-NFA-002-DP-F-001</t>
  </si>
  <si>
    <t>ML350G4</t>
  </si>
  <si>
    <t>ROBERT BACANGGOY</t>
  </si>
  <si>
    <t>OHAUS ANALYTICAL BALANCE ADVENTURE 210G X 0.1 MODEL :AR 2140</t>
  </si>
  <si>
    <t>2006-NFA-00B-TS-D-001</t>
  </si>
  <si>
    <t>OVEN LABORATORY FOR DRYING BINDER BRAND, GERMANY MODEL;ED 53</t>
  </si>
  <si>
    <t>2007-NFA-TRD-TS-D-315</t>
  </si>
  <si>
    <t>07-17295</t>
  </si>
  <si>
    <t>LABORATORY SAMPLE GRINDER ROMER MILL SERIES W/ ACCESSORIES</t>
  </si>
  <si>
    <t>2011-NFA-TRD-TS-D-1163</t>
  </si>
  <si>
    <t>ANALYTICAL BALANCE CAPACITY 220G X 0.1MG (BRAND: OHAUS)</t>
  </si>
  <si>
    <t>2017-NFA-TRS-TS-D-703</t>
  </si>
  <si>
    <t>LABORATORY POLISHING MACHINE W/ BASIC TOOLS ACCESSORIES</t>
  </si>
  <si>
    <t>2013-NFA-TRS-TS-P-008</t>
  </si>
  <si>
    <t>S6704/29</t>
  </si>
  <si>
    <t>2006-NFA-GSD-LT-C-132</t>
  </si>
  <si>
    <t>ISUZU CROSSWIND SPORTIVO ENGINE # 4JA1M57459 CHASSIS # PABTBBR54FG2089995</t>
  </si>
  <si>
    <t>2016-NFA-GSD-LT-C-203</t>
  </si>
  <si>
    <t>FURNITURE, FIXTURES &amp; BOOKS</t>
  </si>
  <si>
    <t>1.jpg</t>
  </si>
  <si>
    <t>71.jpg</t>
  </si>
  <si>
    <t>72.jpg</t>
  </si>
  <si>
    <t>74.jpg</t>
  </si>
  <si>
    <t>87.jpg</t>
  </si>
  <si>
    <t>50.jpg</t>
  </si>
  <si>
    <t>93.jpg</t>
  </si>
  <si>
    <t>100.jpg</t>
  </si>
  <si>
    <t>97.jpg</t>
  </si>
  <si>
    <t>101.jpg</t>
  </si>
  <si>
    <t>104.jpg</t>
  </si>
  <si>
    <t>63.jpg</t>
  </si>
  <si>
    <t>64.jpg</t>
  </si>
  <si>
    <t>NATIONAL FOOD AUTHORITY</t>
  </si>
  <si>
    <t>Caraga Regional Office (Region XV)</t>
  </si>
  <si>
    <t>_____________________________________________________________________________________________________</t>
  </si>
  <si>
    <t>NFA Compound, Libertad, Butuan City 8600                                             www.nfa.gov.ph</t>
  </si>
  <si>
    <t>FOR :</t>
  </si>
  <si>
    <t>FROM:</t>
  </si>
  <si>
    <t>NFA- Caraga Regional Office</t>
  </si>
  <si>
    <t>OIC- Regional Manager</t>
  </si>
  <si>
    <t>ELSA ASUNCION LIM</t>
  </si>
  <si>
    <t>Acting Department Manager</t>
  </si>
  <si>
    <t>SUBJECT:</t>
  </si>
  <si>
    <t xml:space="preserve">INVENTORY AND AUDIT OF PROPERTY, PLANT AND EQUIPMENT OF </t>
  </si>
  <si>
    <t>NFA CARAGA REGIONAL OFFICE</t>
  </si>
  <si>
    <t xml:space="preserve">TOYOTA INNOVA DSL MODEL 2005 ENGINE # 2KD-9547460 </t>
  </si>
  <si>
    <t>Internal Audit Department</t>
  </si>
  <si>
    <t>In reference to Memorandum coded AO-2021-03-018 dated 15 March 2021, we are submitting our</t>
  </si>
  <si>
    <t>Inventory and Audit of Property, Plant and Equipment as follows:</t>
  </si>
  <si>
    <t>These are for your references.  Thank you.</t>
  </si>
  <si>
    <t xml:space="preserve">        2.  Pictures of the PPE.</t>
  </si>
  <si>
    <t xml:space="preserve">        1.  Accomplished Inventory Report of PPE ( Annex 1) and</t>
  </si>
  <si>
    <t>GERLIZA L. MULA</t>
  </si>
  <si>
    <t>ALEXIS M. RAVELO</t>
  </si>
  <si>
    <t>JOJIT J. CASIO</t>
  </si>
  <si>
    <t>01/11/2012</t>
  </si>
  <si>
    <t>01/04/2007</t>
  </si>
  <si>
    <t>08/23/2006</t>
  </si>
  <si>
    <t>09/27/2007</t>
  </si>
  <si>
    <t>02/21/2011</t>
  </si>
  <si>
    <t>05/02/2017</t>
  </si>
  <si>
    <t>Sub Total</t>
  </si>
  <si>
    <t>Acctg. Section</t>
  </si>
  <si>
    <t>ROEL D. CAPERIG</t>
  </si>
  <si>
    <t>VERALEW DG. DE VERA</t>
  </si>
  <si>
    <t>1979-NFA-002-BS-A-001</t>
  </si>
  <si>
    <t>8/13/2021</t>
  </si>
  <si>
    <t>2021-NFA-OCD-TS-P-025</t>
  </si>
  <si>
    <t>G2003053</t>
  </si>
  <si>
    <t>11/24/2021</t>
  </si>
  <si>
    <t>2021-NFA-TRS-TS-D-1221</t>
  </si>
  <si>
    <t>CB00406</t>
  </si>
  <si>
    <t>1/24/2011</t>
  </si>
  <si>
    <t>Generator Set Kubota</t>
  </si>
  <si>
    <t>2013-NFA-00B-PE-V-002</t>
  </si>
  <si>
    <t>NATIONAL FOOD AUTHORITY - CARAGA</t>
  </si>
  <si>
    <t>DESCRIPTION</t>
  </si>
  <si>
    <t>UNIT VALUE</t>
  </si>
  <si>
    <t>REMARKS</t>
  </si>
  <si>
    <t>QTY PER PHYSICAL COUNT</t>
  </si>
  <si>
    <t>CONDITION</t>
  </si>
  <si>
    <t>J. Rosales Ave., Bxu</t>
  </si>
  <si>
    <t>Libertad Compound, Bxu</t>
  </si>
  <si>
    <t>Building - Regional Office</t>
  </si>
  <si>
    <t>Good Condition</t>
  </si>
  <si>
    <t>Unserviceable</t>
  </si>
  <si>
    <t>Needing Repair</t>
  </si>
  <si>
    <t>GenSet House</t>
  </si>
  <si>
    <t>TRSD Section</t>
  </si>
  <si>
    <t>ARTICLE / ITEM</t>
  </si>
  <si>
    <t>BUILDING</t>
  </si>
  <si>
    <t>LABORATORY HULLER</t>
  </si>
  <si>
    <t>LABORATORY POLISHING MACHINE</t>
  </si>
  <si>
    <t>OFFICE COMBI BLINDS</t>
  </si>
  <si>
    <t>2018-NFA-002-FF-L-001</t>
  </si>
  <si>
    <t>PROPERTY NO.</t>
  </si>
  <si>
    <t>VALUE</t>
  </si>
  <si>
    <t>pc.</t>
  </si>
  <si>
    <t>Appendix 73</t>
  </si>
  <si>
    <t>REPORT ON THE PHYSICAL COUNT OF PROPERTY, PLANT AND EQUIPMENT</t>
  </si>
  <si>
    <t>Regional Office No. XV</t>
  </si>
  <si>
    <t>2021 MITSUBISHI STRADA GLS 2.4D 2WD, 4N15UHC6103 SILVER METALIC, AT</t>
  </si>
  <si>
    <t>2021-NFA-GSD-LT-C-229</t>
  </si>
  <si>
    <t>unit</t>
  </si>
  <si>
    <t>JESON JARIOL</t>
  </si>
  <si>
    <t>B3-420 Notebook 14" Core15-1135g7 / 16B DDR4 / 512GB NVME PCI-E SSD, Intel IRIS XE Graphics, SN# JEXPM22325000059</t>
  </si>
  <si>
    <t>2022-NFA-MSD-DP-T-059</t>
  </si>
  <si>
    <t>set</t>
  </si>
  <si>
    <t>RM's Office</t>
  </si>
  <si>
    <t>QTY</t>
  </si>
  <si>
    <t>SHORTAGE/ OVERAGE</t>
  </si>
  <si>
    <t>QTY PER PROP. CARD</t>
  </si>
  <si>
    <t>Regional Manager II</t>
  </si>
  <si>
    <t>IIRUP NO. CAR-IIR-2022-C-002</t>
  </si>
  <si>
    <t>IIRUP NO. CAR-IIR-2022-C-001</t>
  </si>
  <si>
    <t>UNIT OF MEA.</t>
  </si>
  <si>
    <t>As of Dec. 31, 2022</t>
  </si>
  <si>
    <t>OFFICE EQUIPMENT</t>
  </si>
  <si>
    <t>KOPPEL 3.0 TR FLOOR MOUNTED INVERTER</t>
  </si>
  <si>
    <t>2022-NFA-00B-OE-C-020</t>
  </si>
  <si>
    <t>Old RO Office</t>
  </si>
  <si>
    <t>PLANT MACHINERY &amp; EQUIPMENT</t>
  </si>
  <si>
    <t>MOTOR VEHICLES, LAND TRANS. EQUIPT AND ACCESORIES</t>
  </si>
  <si>
    <t>TECHNICAL &amp; SCIENTIFIC EQUIPMENT EQUIPMENT</t>
  </si>
  <si>
    <t>2022-NFA-00B-FF-D-001</t>
  </si>
  <si>
    <t>IT EQUIPMENT AND SOFTWARE</t>
  </si>
  <si>
    <t>CPU, HP Personal Computers</t>
  </si>
  <si>
    <t>2005-NFA-OOB-DP-B-005</t>
  </si>
  <si>
    <t>COMMUNICATION EQUIPMENT</t>
  </si>
  <si>
    <t>Multimedia Projector, EPSON</t>
  </si>
  <si>
    <t>2005-NFA-OOB-CM-G-002</t>
  </si>
  <si>
    <t>pc</t>
  </si>
  <si>
    <t>Conference Room</t>
  </si>
  <si>
    <t>Video Conferencing System TV SN:5204942, PC DELL - DJNY6K3, LOGITECH RALLY PLUS (TABLE HUB, DISPLAY HUB, CAMERA, MIC POS 1 &amp; 2 SPEAKER L&amp;R)</t>
  </si>
  <si>
    <t>SERIAL NUMBER</t>
  </si>
  <si>
    <t>DATE ACQUIRED</t>
  </si>
  <si>
    <t>JEXPM22325000059</t>
  </si>
  <si>
    <t>2022-NFA-MSD-CM-G-021</t>
  </si>
  <si>
    <t>Caraga Regional Office</t>
  </si>
  <si>
    <t>J. Rosales Ave., Butuan City</t>
  </si>
  <si>
    <t>PROPERTY INVENTORY FORM</t>
  </si>
  <si>
    <t>As of DECEMBER 31 2022</t>
  </si>
  <si>
    <t>Classification / Type</t>
  </si>
  <si>
    <t>Item Description</t>
  </si>
  <si>
    <t>Nature of Occupancy1</t>
  </si>
  <si>
    <t>Location</t>
  </si>
  <si>
    <t>Date Constructed / Acquired / Manufactured</t>
  </si>
  <si>
    <t>Property No. / Other Reference[2]</t>
  </si>
  <si>
    <t>Valuation</t>
  </si>
  <si>
    <t>Date of Appraisal</t>
  </si>
  <si>
    <t>Remarks</t>
  </si>
  <si>
    <r>
      <t>Acquisition Cost/ Insurable Interest</t>
    </r>
    <r>
      <rPr>
        <b/>
        <vertAlign val="superscript"/>
        <sz val="11"/>
        <color theme="1"/>
        <rFont val="Calibri"/>
        <family val="2"/>
        <scheme val="minor"/>
      </rPr>
      <t>2</t>
    </r>
  </si>
  <si>
    <t>Market / Appraisal /  Insurable Interest2</t>
  </si>
  <si>
    <t>(1)</t>
  </si>
  <si>
    <t>(2)</t>
  </si>
  <si>
    <t>(3)</t>
  </si>
  <si>
    <t>(4)</t>
  </si>
  <si>
    <t>(5)</t>
  </si>
  <si>
    <t>(6)</t>
  </si>
  <si>
    <t>(7)</t>
  </si>
  <si>
    <t>(8)</t>
  </si>
  <si>
    <t>(9)</t>
  </si>
  <si>
    <t>(10)</t>
  </si>
  <si>
    <t>OFFICE</t>
  </si>
  <si>
    <t>LIBERTAD COMPOUND</t>
  </si>
  <si>
    <t>REGIONAL OFFICE</t>
  </si>
  <si>
    <t xml:space="preserve">MACHINERY AND EQUIPMENT- INFORMATION AND COMMUNICATION </t>
  </si>
  <si>
    <t>PART II - SEMI-EXPENDABLE</t>
  </si>
  <si>
    <t>MACHINERY AND EQUIPMENT- COMMUNICATION EQUIPMENT</t>
  </si>
  <si>
    <t>TELEPNHONE SET, CORDLESS, PANASONIC</t>
  </si>
  <si>
    <t>2010-NFA-00B-CM-D-004</t>
  </si>
  <si>
    <t>FAX MACHINE, KX-FT503CX, PANASONIC</t>
  </si>
  <si>
    <t>2013-NFA-00B-CM-F-003</t>
  </si>
  <si>
    <t>TV, BRAND: DEVANT 22" LCD COLOR MODEL:22DX850</t>
  </si>
  <si>
    <t>2010-NFA-00B-CM-G-001</t>
  </si>
  <si>
    <t>DIGITAL VOICE RECORDER SONY BRAND(RECHARGEABLE)</t>
  </si>
  <si>
    <t>2013-NFA-00B-CM-G-001</t>
  </si>
  <si>
    <t>MICROPHONE, WIRELESS, 2 PCS BRAND: SHURE</t>
  </si>
  <si>
    <t>2015-NFA-00B-CM-G-004</t>
  </si>
  <si>
    <t>TELEPHONE SET, CORDLESS, PANASONIC</t>
  </si>
  <si>
    <t>2012-NFA-00B-CM-d-009</t>
  </si>
  <si>
    <t>CPU, ACER ASPIRE(UPGRADED)</t>
  </si>
  <si>
    <t>1998-NFA-004-DP-B-007</t>
  </si>
  <si>
    <t>CPU</t>
  </si>
  <si>
    <t>2011-NFA-00B-DP-B-024</t>
  </si>
  <si>
    <t xml:space="preserve">UPS, APC </t>
  </si>
  <si>
    <t>2017-NFA-00B-DP-V-044</t>
  </si>
  <si>
    <t>PRINTER, EPSON L120</t>
  </si>
  <si>
    <t>2016-NFA-00B-DP-D-001</t>
  </si>
  <si>
    <t>PRINTER, EPSON L220 MODEL: C462H</t>
  </si>
  <si>
    <t>2016-NFA-00B-DP-D-002</t>
  </si>
  <si>
    <t>PRINTER, EPSON L110</t>
  </si>
  <si>
    <t>2014-NFA-00B-DP-D-031</t>
  </si>
  <si>
    <t>PRINTER, EPSON 120</t>
  </si>
  <si>
    <t>2014-NFA-00B-DP-D-032</t>
  </si>
  <si>
    <t>2014-NFA-00B-DP-D-034</t>
  </si>
  <si>
    <t>PRINTER, EPSON L210 3 IN 1</t>
  </si>
  <si>
    <t>2014-NFA-00B-DP-D-035</t>
  </si>
  <si>
    <t>PRINTER, L120</t>
  </si>
  <si>
    <t>2015-NFA-00B-DP-D-036</t>
  </si>
  <si>
    <t>2015-NFA-00B-DP-D-037</t>
  </si>
  <si>
    <t>2015-NFA-00B-DP-D-038</t>
  </si>
  <si>
    <t>2016-NFA-00B-DP-D-039</t>
  </si>
  <si>
    <t>PRINTER, EPSON L220, 3 IN 1 CONTINUOUS INK</t>
  </si>
  <si>
    <t>8/22/2017</t>
  </si>
  <si>
    <t>2016-NFA-00B-DP-D-040</t>
  </si>
  <si>
    <t>PRINTER, EPSON L360</t>
  </si>
  <si>
    <t>2016-NFA-00B-DP-D-041</t>
  </si>
  <si>
    <t>2017-NFA-00B-DP-D-042</t>
  </si>
  <si>
    <t>PRINTER, EPSON L360 3 IN 1</t>
  </si>
  <si>
    <t>2017-NFA-00B-DP-D-043</t>
  </si>
  <si>
    <t>2017-NFA-00B-DP-D-044</t>
  </si>
  <si>
    <t>PRINTER, EPSON L565 MODEL: C463C</t>
  </si>
  <si>
    <t>2017-NFA-00B-DP-D-045</t>
  </si>
  <si>
    <t>2017-NFA-00B-DP-D-046</t>
  </si>
  <si>
    <t>2018-NFA-00B-DP-D-047</t>
  </si>
  <si>
    <t>2018-NFA-00B-DP-D-048</t>
  </si>
  <si>
    <t>PRINTER 3 IN 1 (BROTHER MODEL: DCP-T710W)</t>
  </si>
  <si>
    <t>2019-NFA-00B-DP-D-049</t>
  </si>
  <si>
    <t>PRINTER EPSON L120</t>
  </si>
  <si>
    <t>2020-NFA-00B-DP-D-050</t>
  </si>
  <si>
    <t>PRINTER, EPSON L310</t>
  </si>
  <si>
    <t>2020-NFA-00B-DP-D-051</t>
  </si>
  <si>
    <t>PRINTER, EPSON LX+II DOT MATRIX</t>
  </si>
  <si>
    <t>2007-NFA-MSD-DP-D-330</t>
  </si>
  <si>
    <t>SPEAKER, ALTEC LANSING MULTIMEDIA COMPUTER SPEAKER SYSTEM POWERED</t>
  </si>
  <si>
    <t>2007-NFA-00B-DP-N-005</t>
  </si>
  <si>
    <t>2005-NFA-00B-DP-N-001</t>
  </si>
  <si>
    <t>SCANNER, CANNON LIDE 100spl</t>
  </si>
  <si>
    <t>2009-NFA-00B-DP-R-001</t>
  </si>
  <si>
    <t>SCANNER, FLATBED, CANNON LIDE 120, A4 SIZE</t>
  </si>
  <si>
    <t>2017-NFA-00B-DP-R-002</t>
  </si>
  <si>
    <t>AVR 500 watts, MITSUBISHI</t>
  </si>
  <si>
    <t>003-NFA-0B0-DP-V-001</t>
  </si>
  <si>
    <t>UPS, RED FOX</t>
  </si>
  <si>
    <t>2005-NFA-00B-DP-V-005</t>
  </si>
  <si>
    <t>UPS, APC MODEL:BX625CI-MS</t>
  </si>
  <si>
    <t>2016-NFA-00B-DP-V-032</t>
  </si>
  <si>
    <t>2017-NFA-00B-DP-V-034</t>
  </si>
  <si>
    <t>2016-NFA-00B-DP-V-036</t>
  </si>
  <si>
    <t>2015-NFA-00B-DP-V-037</t>
  </si>
  <si>
    <t>UPS, APC MODEL: BX625CI-MS</t>
  </si>
  <si>
    <t>2016-NFA-00B-DP-V-043</t>
  </si>
  <si>
    <t>UPS, IDEAL</t>
  </si>
  <si>
    <t>2017-NFA-00B-DP-V-045</t>
  </si>
  <si>
    <t>UPS, IDEAL MODEL: IDEAL-5106C</t>
  </si>
  <si>
    <t>2017-NFA-00B-DP-V-046</t>
  </si>
  <si>
    <t>UPS, FORTRESS</t>
  </si>
  <si>
    <t>2018-NFA-00B-DP-V-048</t>
  </si>
  <si>
    <t>UPS, BRAND: FORTRESS MODEL: 800i</t>
  </si>
  <si>
    <t>2015-NFA-00B-DP-V-049</t>
  </si>
  <si>
    <t>UPS, FORTRESS MODEL:800i</t>
  </si>
  <si>
    <t>2018-NFA-00B-DP-V-050</t>
  </si>
  <si>
    <t>2018-NFA-00B-DP-V-051</t>
  </si>
  <si>
    <t>UPS, APC 650</t>
  </si>
  <si>
    <t>2019-NFA-00B-DP-V-052</t>
  </si>
  <si>
    <t>UPS, 625VA, APC BRAND</t>
  </si>
  <si>
    <t>2019-NFA-00B-DP-V-053</t>
  </si>
  <si>
    <t>UPS, APC 650VA</t>
  </si>
  <si>
    <t>2019-NFA-00B-DP-V-054</t>
  </si>
  <si>
    <t>UPS</t>
  </si>
  <si>
    <t>2020-NFA-00B-DP-V-055</t>
  </si>
  <si>
    <t>2020-NFA-00B-DP-V-056</t>
  </si>
  <si>
    <t>2020-NFA-00B-DP-V-057</t>
  </si>
  <si>
    <t>2020-NFA-00B-DP-V-058</t>
  </si>
  <si>
    <t>MONITOR, ACER, FLAT SCREEN 16"</t>
  </si>
  <si>
    <t>2014-NFA-00B-DP-b-001</t>
  </si>
  <si>
    <t>MONITOR, 18.5 BRAND: SAMSUNG MODEL: S19D300NY</t>
  </si>
  <si>
    <t>2015-NFA-00B-DP-b-001</t>
  </si>
  <si>
    <t>MONITOR, AOC LCD, 22"</t>
  </si>
  <si>
    <t>2010-NFA-00B-DP-b-002</t>
  </si>
  <si>
    <t>MONITOR, LCD AOC</t>
  </si>
  <si>
    <t>2009-NFA-00B-DP-b-003</t>
  </si>
  <si>
    <t>MONITOR, DELL 18.5"</t>
  </si>
  <si>
    <t>2016-NFA-00B-DP-b-004</t>
  </si>
  <si>
    <t>MONITOR, LED 18.5" AOC</t>
  </si>
  <si>
    <t>2013-NFA-00B-DP-b-016</t>
  </si>
  <si>
    <t>MONITOR ACER LCD MODEL: P166HQL</t>
  </si>
  <si>
    <t>2005-NFA-004-DP-b-024.1</t>
  </si>
  <si>
    <t>BED CUSHION, DEW FOAM</t>
  </si>
  <si>
    <t>2008-NFA-00B-FF-A-002</t>
  </si>
  <si>
    <t>WOODEN BED</t>
  </si>
  <si>
    <t>2019-NFA-00B-FF-A-003</t>
  </si>
  <si>
    <t>EXECUTIVE TABLE</t>
  </si>
  <si>
    <t>2009-NFA-00B-FF-B-001</t>
  </si>
  <si>
    <t>2009-NFA-00B-FF-B-003</t>
  </si>
  <si>
    <t>2009-NFA-00B-FF-B-004</t>
  </si>
  <si>
    <t>2009-NFA-00B-FF-B-009</t>
  </si>
  <si>
    <t>TYPING TABLE</t>
  </si>
  <si>
    <t>2007-NFA-00B-FF-B-009</t>
  </si>
  <si>
    <t>2009-NFA-00B-FF-B-010</t>
  </si>
  <si>
    <t>EXECUTIVE OFFICE TABLE</t>
  </si>
  <si>
    <t>2016-NFA-00B-FF-B-011</t>
  </si>
  <si>
    <t>CLERICAL TABLE</t>
  </si>
  <si>
    <t>2010-NFA-00B-FF-B-027</t>
  </si>
  <si>
    <t>2009-NFA-00B-FF-B-028</t>
  </si>
  <si>
    <t>EXECUTIVE TALBE</t>
  </si>
  <si>
    <t>1/20/2010</t>
  </si>
  <si>
    <t>2010-NFA-00B-FF-B-030</t>
  </si>
  <si>
    <t>2009-NFA-00B-FF-B-031</t>
  </si>
  <si>
    <t>2009-NFA-00B-FF-B-032</t>
  </si>
  <si>
    <t>2010-NFA-00B-FF-B-032</t>
  </si>
  <si>
    <t>2009-NFA-00B-FF-B-033</t>
  </si>
  <si>
    <t>2009-NFA-00B-FF-B-035</t>
  </si>
  <si>
    <t>2009-NFA-00B-FF-B-036</t>
  </si>
  <si>
    <t>2009-NFA-00B-FF-B-037</t>
  </si>
  <si>
    <t>EXECUTIVE TABLE(GRAY)</t>
  </si>
  <si>
    <t>2009-NFA-0B0-FF-B-038</t>
  </si>
  <si>
    <t>CLERICAL TABLE BEIGE</t>
  </si>
  <si>
    <t>2011-NFA-00B-FF-B-039</t>
  </si>
  <si>
    <t>2015-NFA-00B-FF-B-040</t>
  </si>
  <si>
    <t>JUNIOR EXECUTIVE TABLE</t>
  </si>
  <si>
    <t>2016-NFA-00B-FF-B-043</t>
  </si>
  <si>
    <t>2016-NFA-00B-FF-B-044</t>
  </si>
  <si>
    <t>SENIOR EXECUTIVE TABLE</t>
  </si>
  <si>
    <t>2016-NFA-00B-FF-B-045</t>
  </si>
  <si>
    <t>2016-NFA-00B-FF-B-046</t>
  </si>
  <si>
    <t>2017-NFA-00B-FF-B-047</t>
  </si>
  <si>
    <t>ROUND TABLE GLASS</t>
  </si>
  <si>
    <t>2003-NFA-0B0-FF-C-001</t>
  </si>
  <si>
    <t>FOLDABLE PLASTIC TABLE</t>
  </si>
  <si>
    <t>2019-NFA-00B-FF-C-002</t>
  </si>
  <si>
    <t>2019-NFA-00B-FF-C-003</t>
  </si>
  <si>
    <t>2019-NFA-00B-FF-C-004</t>
  </si>
  <si>
    <t>2019-NFA-00B-FF-C-005</t>
  </si>
  <si>
    <t>CENTER TABLE</t>
  </si>
  <si>
    <t>2003-NFA00B-FF-D-001</t>
  </si>
  <si>
    <t>CONFERENCE TABLE</t>
  </si>
  <si>
    <t>2009-NFA-00B-FF-D-001</t>
  </si>
  <si>
    <t>2009-NFA-00B-FF-D-002</t>
  </si>
  <si>
    <t>2009-NFA-00B-FF-D-003</t>
  </si>
  <si>
    <t>2009-NFA-00B-FF-D-004</t>
  </si>
  <si>
    <t>2009-NFA-00B-FF-D-005</t>
  </si>
  <si>
    <t>2009-NFA-00B-FF-D-006</t>
  </si>
  <si>
    <t>2009-NFA-00B-FF-D-007</t>
  </si>
  <si>
    <t>2009-NFA-00B-FF-D-008</t>
  </si>
  <si>
    <t>2009-NFA-00B-FF-D-009</t>
  </si>
  <si>
    <t>2009-NFA-00B-FF-D-010</t>
  </si>
  <si>
    <t>TELEVISION RACK</t>
  </si>
  <si>
    <t>2010-NFA-0B0-FF-E-001</t>
  </si>
  <si>
    <t>COFFEE CART TABLE</t>
  </si>
  <si>
    <t>2003-NFA-00B-FF-E-001</t>
  </si>
  <si>
    <t>WOODEN COFFEE RACK</t>
  </si>
  <si>
    <t>2003-NFA-00B-FF-E-002</t>
  </si>
  <si>
    <t>COFFEE TABLE SET</t>
  </si>
  <si>
    <t>2019-NFA-00B-FF-E-003</t>
  </si>
  <si>
    <t>MAGAZINE RACK/STAND</t>
  </si>
  <si>
    <t>2009-NFA-00B-FF-F-002</t>
  </si>
  <si>
    <t>2009-NFA-00B-FF-F-003</t>
  </si>
  <si>
    <t>2009-NFA-00B-FF-F-004</t>
  </si>
  <si>
    <t>TELEPHONE STAND/ RACK W/ DRAWER</t>
  </si>
  <si>
    <t>2010-NFA-0B0-FF-F-005</t>
  </si>
  <si>
    <t>SUGGESTION BOX WITH STAND</t>
  </si>
  <si>
    <t>2009-NFA-0B0-FF-H-001</t>
  </si>
  <si>
    <t>SOFA, 2 SEATERS JOEY BRAND</t>
  </si>
  <si>
    <t>2010-NFA-00B-FF-I-001</t>
  </si>
  <si>
    <t>SOFA SINGLE SEATER</t>
  </si>
  <si>
    <t>2017-NFA-00B-FF-I-002</t>
  </si>
  <si>
    <t>SOFA BED,3-4 SEATEARS</t>
  </si>
  <si>
    <t>10/17/2016</t>
  </si>
  <si>
    <t>2016-NFA-00B-FF-I-002</t>
  </si>
  <si>
    <t>2017-NFA-00B-FF-I-003</t>
  </si>
  <si>
    <t>WOODEN SHELVES(2 UNITS)</t>
  </si>
  <si>
    <t>2007-NFA-00B-FF-J-002</t>
  </si>
  <si>
    <t>WOODEN OFFICE CABINET</t>
  </si>
  <si>
    <t>06/30/2009</t>
  </si>
  <si>
    <t>2009-NFA-00B-FF-J-003</t>
  </si>
  <si>
    <t>WOODEN SHELVES W/ COVER</t>
  </si>
  <si>
    <t>2008-NFA-00B-FF-J-003</t>
  </si>
  <si>
    <t>2011-NFA-00B-FF-J-005</t>
  </si>
  <si>
    <t>WOODEN CABINET, 3 DOORS</t>
  </si>
  <si>
    <t>2016-NFA-00B-FF-J-006</t>
  </si>
  <si>
    <t>CABINET DIMENSION: 30" W, 70 "L</t>
  </si>
  <si>
    <t>2019-NFA-00B-FF-J-007</t>
  </si>
  <si>
    <t>VISITOR'S CHAIR</t>
  </si>
  <si>
    <t>2009-NFA-00B-FF-K-001</t>
  </si>
  <si>
    <t>2009-NFA-00B-FF-K-002</t>
  </si>
  <si>
    <t>2004-NFA-00B-FF-K-002</t>
  </si>
  <si>
    <t>2015-NFA-00B-FF-K-003</t>
  </si>
  <si>
    <t>2004-NFA-00B-FF-K-003</t>
  </si>
  <si>
    <t>2009-NFA-00B-F-K-004</t>
  </si>
  <si>
    <t>2015-NFA-00B-FF-K-004</t>
  </si>
  <si>
    <t>2015-NFA-00B-FF-K-005</t>
  </si>
  <si>
    <t>2015-NFA-00B-FF-K-006</t>
  </si>
  <si>
    <t>2015-NFA-00B-FF-K-007</t>
  </si>
  <si>
    <t>2015-NFA-00B-FF-K-008</t>
  </si>
  <si>
    <t>2009-NFA-00B-FF-K-008</t>
  </si>
  <si>
    <t>2009-NFA-00B-FF-K-009</t>
  </si>
  <si>
    <t>2009-NFA-00B-FF-K-017</t>
  </si>
  <si>
    <t>2009-NFA-00B-FF-K-032</t>
  </si>
  <si>
    <t>2009-NFA-00B-FF-K-033</t>
  </si>
  <si>
    <t>2009-NFA-00B-FF-K-034</t>
  </si>
  <si>
    <t>2009-NFA-00B-FF-K-035</t>
  </si>
  <si>
    <t>2010-NFA-00B-FF-K-037</t>
  </si>
  <si>
    <t>2010-NFA-00B-FF-K-038</t>
  </si>
  <si>
    <t>2010-NFA-00B-FF-K-039</t>
  </si>
  <si>
    <t>2010-NFA-00B-FF-K-040</t>
  </si>
  <si>
    <t>VISITOR'S CHAIR(ACCTG)</t>
  </si>
  <si>
    <t>2013-NFA-00B-FF-K-041</t>
  </si>
  <si>
    <t>2013-NFA-00B-FF-K-042</t>
  </si>
  <si>
    <t>2009-NFA-00B-FF-K-042</t>
  </si>
  <si>
    <t>2009-NFA-00B-FF-K-043</t>
  </si>
  <si>
    <t>2009-NFA-00B-FF-K-044</t>
  </si>
  <si>
    <t>2003-NFA-00B-FF-b-001.1</t>
  </si>
  <si>
    <t>2003-NFA-00B-FF-b-001.2</t>
  </si>
  <si>
    <t>2003-NFA-00B-FF-b-001.3</t>
  </si>
  <si>
    <t>2003-NFA-00B-FF-b-001.4</t>
  </si>
  <si>
    <t>SR. EXECUTIVE SWIVEL CHAIR</t>
  </si>
  <si>
    <t>08/24/2015</t>
  </si>
  <si>
    <t>2015-NFA-00B-FF-K-001</t>
  </si>
  <si>
    <t>2015-NFA-00B-FF-K-002</t>
  </si>
  <si>
    <t>HIGH BACK SWIVEL CHAIR W/ ARM REST</t>
  </si>
  <si>
    <t>2009-NFA-00B-FF-K-019</t>
  </si>
  <si>
    <t>COMPUTER SWIVEL CHAIR</t>
  </si>
  <si>
    <t>2011-NFA-0B0-FF-K-049</t>
  </si>
  <si>
    <t>HIGH BACK SWIVEL CHAIR</t>
  </si>
  <si>
    <t>2012-NFA-00B-FF-K-055</t>
  </si>
  <si>
    <t>2013-NFA-00B-FF-K-057</t>
  </si>
  <si>
    <t>2014-NFA-00B-FF-K-059</t>
  </si>
  <si>
    <t>COMPUTER SWIVEL CHAIR W/ ARM REST</t>
  </si>
  <si>
    <t>2015-NFA-00B-FF-K-063</t>
  </si>
  <si>
    <t>2015-NFA-00B-FF-K-066</t>
  </si>
  <si>
    <t>2015-NFA-00B-FF-K-067</t>
  </si>
  <si>
    <t xml:space="preserve">HIGH BACK SWIVEL CHAIR </t>
  </si>
  <si>
    <t>2015-NFA-00B-FF-K-068</t>
  </si>
  <si>
    <t>2015-NFA-00B-FF-K-071</t>
  </si>
  <si>
    <t>COMPUTER SWIVEL CHAIR W/ ARMREST</t>
  </si>
  <si>
    <t>2015-NFA-00B-FF-K-072</t>
  </si>
  <si>
    <t>2015-NFA-00B-FF-K-073</t>
  </si>
  <si>
    <t>2015-NFA-00B-FF-K-074</t>
  </si>
  <si>
    <t>MID BACK SWIVEL CHAIR W/ ARM REST</t>
  </si>
  <si>
    <t>2002-NFA-002-FF-K-085</t>
  </si>
  <si>
    <t>SENIOR EXECUTIVE SWIVEL CHAIR</t>
  </si>
  <si>
    <t>2016-NFA-00B-FF-K-086</t>
  </si>
  <si>
    <t>2016-NFA-00B-FF-K-089</t>
  </si>
  <si>
    <t>2017-NFA-00B-FF-K-090</t>
  </si>
  <si>
    <t>EXECUTIVE CHAIR</t>
  </si>
  <si>
    <t>2018-NFA-00B-FF-K-091</t>
  </si>
  <si>
    <t>SENIOR EXECUTIVE CHAIR</t>
  </si>
  <si>
    <t>2018-NFA-00B-FF-K-092</t>
  </si>
  <si>
    <t>2018-NFA-00B-FF-K-093</t>
  </si>
  <si>
    <t>EXECUTIVE CHAIR(CREAM)</t>
  </si>
  <si>
    <t>2018-NFA-00B-FF-K-094</t>
  </si>
  <si>
    <t>EXECUTIVE CHAIR(GRAY)</t>
  </si>
  <si>
    <t>2019-NFA-00B-FF-K-095</t>
  </si>
  <si>
    <t>CORK BOARD 4' X 5'</t>
  </si>
  <si>
    <t>2018-NFA-00B-FF-L-011</t>
  </si>
  <si>
    <t>CORK BOARD (48" X 72")</t>
  </si>
  <si>
    <t>2019-NFA-00B-FF-L-012</t>
  </si>
  <si>
    <t>CORK BOARD (4 X 4')</t>
  </si>
  <si>
    <t>2019-NFA-00B-FF-L-013</t>
  </si>
  <si>
    <t>CORK BOARD  4 X 4</t>
  </si>
  <si>
    <t>2020-NFA-00B-FF-L-014</t>
  </si>
  <si>
    <t>CORK BOARD  4 X 5</t>
  </si>
  <si>
    <t>2020-NFA-00B-FF-L-015</t>
  </si>
  <si>
    <t>FLAG POLE STAND</t>
  </si>
  <si>
    <t>2009-NFA-0B0-FF-N-001</t>
  </si>
  <si>
    <t>2009-NFA-0B0-FF-N-002</t>
  </si>
  <si>
    <t>VINTA CHAIR</t>
  </si>
  <si>
    <t>2003-NFA-0B0-FF-c-001.1</t>
  </si>
  <si>
    <t>2003-NFA-0B0-FF-c-001.2</t>
  </si>
  <si>
    <t>2003-NFA-0B0-FF-c-001.3</t>
  </si>
  <si>
    <t>2003-NFA-0B0-FF-c-001.4</t>
  </si>
  <si>
    <t>FIRE FIGHTING EQUIPMENT</t>
  </si>
  <si>
    <t>FIRE EXTINGUISHER 10 LBS</t>
  </si>
  <si>
    <t>2019-NFA-00B-FR-A-001</t>
  </si>
  <si>
    <t>2019-NFA-00B-FR-A-002</t>
  </si>
  <si>
    <t>HAND TOOLS</t>
  </si>
  <si>
    <t>MICROMETER STYLE TORQUE WRENCH 2.5 LBS. 1/2" DRIVE (BUFFALO)</t>
  </si>
  <si>
    <t>2007-NFA-00B-HT-A-001</t>
  </si>
  <si>
    <t>IRWIN METRIC SOCKET SET</t>
  </si>
  <si>
    <t>2007-NFA-00B-HT-A-002</t>
  </si>
  <si>
    <t>VERNIER CALIPER(UNISTAR)JAPAN</t>
  </si>
  <si>
    <t>2007-NFA-00B-HT-A-003</t>
  </si>
  <si>
    <t>3-JAW GEAR PULLER 8" (BUFFALO)</t>
  </si>
  <si>
    <t>2009-NFA-00B-HT-A-014</t>
  </si>
  <si>
    <t>PORTABLE GRINDER(MAKITA)</t>
  </si>
  <si>
    <t>2011-NFA-0B0-HT-A-015</t>
  </si>
  <si>
    <t>PORTABLE ELECTRICAL DRILL</t>
  </si>
  <si>
    <t>2011-NFA-0B0-HT-A-016</t>
  </si>
  <si>
    <t>TEST WEIGHTS 10 KG</t>
  </si>
  <si>
    <t>2013-NFA-00B-HT-A-019</t>
  </si>
  <si>
    <t>TEST WEIGHTS 20 KG</t>
  </si>
  <si>
    <t>2013-NFA-00B-HT-A-024</t>
  </si>
  <si>
    <t>2013-NFA-00B-HT-A-025</t>
  </si>
  <si>
    <t>FOLDING ALUMINUM LADDER</t>
  </si>
  <si>
    <t>2015-NFA-00B-HT-A-026</t>
  </si>
  <si>
    <t>MOTOR VEHICLES, LAND TRANS., EQUIPT. &amp; ACCESSORIES</t>
  </si>
  <si>
    <t>PRESSURE WASHER</t>
  </si>
  <si>
    <t>2008-NFA-00B-LT-C-001</t>
  </si>
  <si>
    <t>ELECTRIC FAN 3D</t>
  </si>
  <si>
    <t>2008-NFA-002-OE-G-014</t>
  </si>
  <si>
    <t>16" RECHARGEABLE FAN WITH LED LIGHT BRAND: FIREFLY</t>
  </si>
  <si>
    <t>2019-NFA-00B-OE-G-017</t>
  </si>
  <si>
    <t>2019-NFA-00B-OE-G-016</t>
  </si>
  <si>
    <t>STEEL FILING CABINET, JACSONS</t>
  </si>
  <si>
    <t>2009-NFA-00B-OE-K-001</t>
  </si>
  <si>
    <t>STEEL FILING CABINET</t>
  </si>
  <si>
    <t>2003-NFA-00B-OE-K-001</t>
  </si>
  <si>
    <t>2009-NFA-00B-OE-K-002</t>
  </si>
  <si>
    <t>2003-NFA-00B-OE-K-002</t>
  </si>
  <si>
    <t>STEEL FILING CABINET,JACKSONS</t>
  </si>
  <si>
    <t>2004-NFA-00B-OE-K-003</t>
  </si>
  <si>
    <t>STEEL FILING CABINET, JACKSONS</t>
  </si>
  <si>
    <t>2009-NFA-00B-OE-K-003</t>
  </si>
  <si>
    <t>2009-NFA-00B-OE-K-004</t>
  </si>
  <si>
    <t>STEEL FILING CABINET, JACKSON S</t>
  </si>
  <si>
    <t>2009-NFA-00B-OE-K-005</t>
  </si>
  <si>
    <t>2004-NFA-00B-OE-K-005</t>
  </si>
  <si>
    <t>2010-NFA-00B-OE-K-006</t>
  </si>
  <si>
    <t xml:space="preserve">STEEL FILING CABINET, JACKSON </t>
  </si>
  <si>
    <t>2009-NFA-00B-OE-K-006</t>
  </si>
  <si>
    <t>STEEL FILING CABINET ( Light Green )</t>
  </si>
  <si>
    <t>2004-NFA-00B-OE-K-006</t>
  </si>
  <si>
    <t>STEEL FILING CABINET, CORONA</t>
  </si>
  <si>
    <t>2004-NFA-00B-OE-K-007</t>
  </si>
  <si>
    <t>2010-NFA-00B-OE-K-007</t>
  </si>
  <si>
    <t>2004-NFA-00B-OE-K-008</t>
  </si>
  <si>
    <t>STEEL FILING CABINET, JACKSONS ( DARK GREEN  )</t>
  </si>
  <si>
    <t>2010-NFA-00B-OE-K-008</t>
  </si>
  <si>
    <t>2011-NFA-00B-OE-K-009</t>
  </si>
  <si>
    <t>2004-NFA-00B-OE-K-009</t>
  </si>
  <si>
    <t>2004-NFA-00B-OE-K-010</t>
  </si>
  <si>
    <t>2013-NFA-00B-OE-K-010</t>
  </si>
  <si>
    <t>STEEL FILING CABINET, JACKSON ( Light Green  )</t>
  </si>
  <si>
    <t>2008-NFA-00B-OE-K-011</t>
  </si>
  <si>
    <t>STEEL FILING CABINET( Dark Green )</t>
  </si>
  <si>
    <t>2014-NFA-00B-OE-K-012</t>
  </si>
  <si>
    <t>STEEL FILING CABINET, 4 DRAWERS</t>
  </si>
  <si>
    <t>2014-NFA-00B-OE-K-013</t>
  </si>
  <si>
    <t>2015-NFA-00B-OE-K-014</t>
  </si>
  <si>
    <t>2015-NFA-00B-OE-K-015</t>
  </si>
  <si>
    <t>2016-NFA-00B-OE-K-016</t>
  </si>
  <si>
    <t>2016-NFA-00B-OE-K-017</t>
  </si>
  <si>
    <t>STEEL FILING CABINET 4 DRAWERS</t>
  </si>
  <si>
    <t>2016-NFA-00B-0E-K-019</t>
  </si>
  <si>
    <t>2016-NFA-00B-OE-K-020</t>
  </si>
  <si>
    <t>STEEL FILING CABINET-CREAM</t>
  </si>
  <si>
    <t>11/21/2017</t>
  </si>
  <si>
    <t>2017-NFA-00B-OE-K-021</t>
  </si>
  <si>
    <t>STEEL FILING CABINET LATERAL 4 DRAWERS</t>
  </si>
  <si>
    <t>2020-NFA-00B-OE-K-022</t>
  </si>
  <si>
    <t>STEEL FILING CABINET LATERAL 2 DRAWERS</t>
  </si>
  <si>
    <t>2021-NFA-00B-OE-K-023</t>
  </si>
  <si>
    <t>2021-NFA-00B-OE-K-024</t>
  </si>
  <si>
    <t>2022-NFA-00B-OE-K-025</t>
  </si>
  <si>
    <t>STEEL STORAGE CABINET</t>
  </si>
  <si>
    <t>2016-NFA-00B-OE-N-006</t>
  </si>
  <si>
    <t xml:space="preserve">STEEL STORAGE CABINET </t>
  </si>
  <si>
    <t>2009-NFA-00B-OE-N-001</t>
  </si>
  <si>
    <t>2010-NFA-00B-OE-N-002</t>
  </si>
  <si>
    <t>2011-NFA-00B-OE-N-003</t>
  </si>
  <si>
    <t>2011-NFA-00B-OE-N-004</t>
  </si>
  <si>
    <t>2013-NFA-00B-OE-N-005</t>
  </si>
  <si>
    <t>2016-NFA-00B-OE-N-007</t>
  </si>
  <si>
    <t>2016-NFA-00B-OE-N-008</t>
  </si>
  <si>
    <t>STEEL SAFE, HERMACO</t>
  </si>
  <si>
    <t>1976-NFA-0B0-OE-O-001</t>
  </si>
  <si>
    <t>BUNDY/ TIME CARD RACK</t>
  </si>
  <si>
    <t>2009-NFA-0B0-OE-S-002</t>
  </si>
  <si>
    <t>REFRIGERATOR, CONDURA 7.5 CU. FT.</t>
  </si>
  <si>
    <t>2006-NFA-00B-OE-T-001</t>
  </si>
  <si>
    <t>REFRIGERATOR PANASONIC 3.0 CU. FT.</t>
  </si>
  <si>
    <t>2010-NFA-00B-OE-T-002</t>
  </si>
  <si>
    <t>MICROWAVE OVEN BRAND: SHARP MODEL: RD-208(S)</t>
  </si>
  <si>
    <t>2018-NFA-00B-OE-U-001</t>
  </si>
  <si>
    <t xml:space="preserve">OVEN TOASTER SOT 650 </t>
  </si>
  <si>
    <t>2018-NFA-00B-OE-U-002</t>
  </si>
  <si>
    <t>WATER DISPENSER, EUREKA MODEL:EWD-EXCEL</t>
  </si>
  <si>
    <t>2019-NFA-00B-OE-U-003</t>
  </si>
  <si>
    <t>PUNCHING/BINDING MACHINE</t>
  </si>
  <si>
    <t>2014-NFA-00B-OE-W-002</t>
  </si>
  <si>
    <t>OFFICE SUPPLIES</t>
  </si>
  <si>
    <t>ONE SET CURTAIN-GREEN</t>
  </si>
  <si>
    <t>2003-NFA-0B0-OS-L-002</t>
  </si>
  <si>
    <t>ONE SET CURTAIN, STAR SATIN PEACH</t>
  </si>
  <si>
    <t>2006-NFA-0B0-OS-L-004</t>
  </si>
  <si>
    <t>VENETIAN BLINDS</t>
  </si>
  <si>
    <t>2010-NFA-0B0-OS-L-006</t>
  </si>
  <si>
    <t>COMPUTER TABLE</t>
  </si>
  <si>
    <t>2009-NFA-0B0-OS-Q-001</t>
  </si>
  <si>
    <t>COMPUTER TABLE, SPACE SAVER</t>
  </si>
  <si>
    <t>1998-NFA-002-OS-Q-005</t>
  </si>
  <si>
    <t>2016-NFA-00B-OS-Q-006</t>
  </si>
  <si>
    <t>2005-NFA-0B0-OS-Q-009</t>
  </si>
  <si>
    <t>2009-NFA-0B0-OS-Q-012</t>
  </si>
  <si>
    <t>COMPUTER RACK, TOWER TYPE</t>
  </si>
  <si>
    <t>2012-NFA-0B0-OS-Q-015</t>
  </si>
  <si>
    <t>2018-NFA-00B-OS-Q-016</t>
  </si>
  <si>
    <t>SPORTS FACILITIES</t>
  </si>
  <si>
    <t>DART PIN, TUNGSTEN</t>
  </si>
  <si>
    <t>2011-NFA-0B0-SP-A-002</t>
  </si>
  <si>
    <t>TABLE TENNIS TABLE</t>
  </si>
  <si>
    <t>2016-NFA-0B0-SP-A-003</t>
  </si>
  <si>
    <t>TECHNICAL AND SCIENTIFIC EQUIPMENT</t>
  </si>
  <si>
    <t>DIAL THICKNESS GAUGE(JEWEL TYPE) MODEL NO. DT-9003</t>
  </si>
  <si>
    <t>2007-NFA-00B-TS-D-001</t>
  </si>
  <si>
    <t>GRAIN COUNTER</t>
  </si>
  <si>
    <t>1982-NFA-TRD-TS-D-0015</t>
  </si>
  <si>
    <t>2007-NFA-00B-TS-D-002</t>
  </si>
  <si>
    <t>GRAINS PEST SIEVE W/ BOTTOM PAN, STAINLESS</t>
  </si>
  <si>
    <t>2004-NFA-00B-TS-D-007</t>
  </si>
  <si>
    <t>GRAINS PEST W/ BOTTOM PAN STAINLESS STEEL</t>
  </si>
  <si>
    <t>2013-NFA-TRD-TS-D-0976</t>
  </si>
  <si>
    <t>TRIANGULAR SAMPLE PAN  BRAND: SEEDBURO</t>
  </si>
  <si>
    <t>2016-NFA-TRS-TS-D-1006</t>
  </si>
  <si>
    <t>TRIANGULAR SAMPLE PAN S</t>
  </si>
  <si>
    <t>2016-NFA-TRS-TS-D-1007</t>
  </si>
  <si>
    <t>2016-NFA-TRS-TS-D-1008</t>
  </si>
  <si>
    <t>2016-NFA-TRS-TS-D-1009</t>
  </si>
  <si>
    <t>2016-NFA-TRS-TS-D-1010</t>
  </si>
  <si>
    <t>INDENTED PLATE</t>
  </si>
  <si>
    <t>2015-NFA-TRS-TS-D-1189</t>
  </si>
  <si>
    <t>2015-NFA-TRS-TS-D-1190</t>
  </si>
  <si>
    <t>2015-NFA-TRS-TS-D-1191</t>
  </si>
  <si>
    <t>2015-NFA-TRS-TS-D-1192</t>
  </si>
  <si>
    <t>2015-NFA-TRS-TS-D-1193</t>
  </si>
  <si>
    <t>GLASS DESSICATOR WITH COVER &amp; PLATE(POLYPROPYLENE)</t>
  </si>
  <si>
    <t>2016-NFA-TRS-TS-D-1308</t>
  </si>
  <si>
    <t>DESSICATOR KNOB TOP NOVUS, 250MM</t>
  </si>
  <si>
    <t>2008-NFA-TRD-TS-D-323</t>
  </si>
  <si>
    <t>TOP LOADING BALANCE SCOUT PRO OHAUS</t>
  </si>
  <si>
    <t>2010-NFA-TRD-TS-D-410</t>
  </si>
  <si>
    <t>DIGITAL TOP LOADING BALANCE CAP., SHINADZU BRAND</t>
  </si>
  <si>
    <t>2009-NFA-TRD-TS-D-748</t>
  </si>
  <si>
    <t>TRIANGULAR PAN, SEEDBURO</t>
  </si>
  <si>
    <t>2009-NFA-TRD-TS-D-787</t>
  </si>
  <si>
    <t>2009-NFA-TRD-TS-D-788</t>
  </si>
  <si>
    <t>TRIPLE BEAM BALANCE, MODEL: 2610</t>
  </si>
  <si>
    <t>2010-NFA-TRD-TS-D-907</t>
  </si>
  <si>
    <t>ALUMINUM DISH WITH COVER-20 PCS</t>
  </si>
  <si>
    <t>2009-NFA-TRD-TS-D-966</t>
  </si>
  <si>
    <t>WAREHOUSE EQUIPMENT</t>
  </si>
  <si>
    <t>HAND SHELLER</t>
  </si>
  <si>
    <t>2013-NFA-TRD-WE-B-1012</t>
  </si>
  <si>
    <t>SEMI EXPENDABLE TOTAL</t>
  </si>
  <si>
    <t>PART II – OTHER INSURABLE INTERESTS</t>
  </si>
  <si>
    <t>(a)  Rights of Action</t>
  </si>
  <si>
    <t>(b)  Other Insurable Interests</t>
  </si>
  <si>
    <t>PREPARED BY:</t>
  </si>
  <si>
    <t xml:space="preserve"> CERTIFIED CORRECT:</t>
  </si>
  <si>
    <t>APPROVED:</t>
  </si>
  <si>
    <t>VERALEW DG DE VERA</t>
  </si>
  <si>
    <t>PMO IV</t>
  </si>
  <si>
    <t>Assistant Regional Manager II</t>
  </si>
  <si>
    <t>Date</t>
  </si>
  <si>
    <t>Member, Inventory Committee</t>
  </si>
  <si>
    <t>Head, Inventory Committee</t>
  </si>
  <si>
    <t xml:space="preserve">   Head of Agency</t>
  </si>
  <si>
    <t>[1] For buildings and other structures, please indicate the nature or type of occupancy of the Government property whether: schools, offices, clinics, hospitals, laboratories, public markets, car parks, terminals, residential, and other information which are important basis for the pricing of the property and in determining the amount of the premium to be paid to the GSIS.</t>
  </si>
  <si>
    <t>[2] For insurable interests other than Property.</t>
  </si>
  <si>
    <t>Sub-Total</t>
  </si>
  <si>
    <t>MARLON O. MARGALLO</t>
  </si>
  <si>
    <t>TOTAL</t>
  </si>
  <si>
    <t>Schedule of Insurable Property - Fire</t>
  </si>
  <si>
    <t>Schedule of Insurable Property - Floater</t>
  </si>
  <si>
    <t>Certified Correct by:</t>
  </si>
  <si>
    <t>Assistant Regional Manager</t>
  </si>
  <si>
    <t>Approved by:</t>
  </si>
  <si>
    <t>Verified by:</t>
  </si>
  <si>
    <t>COA Representative</t>
  </si>
  <si>
    <t>Fund Cluster: __________</t>
  </si>
  <si>
    <t>For which, AMIELOU JANE G. MENDOZA - Acting SAO, NFA-Caraga Regional Office is accountable, having assumed such accountability on (________________).</t>
  </si>
  <si>
    <t>For which, GERLIZA L. MULA - RSQAO, NFA-Caraga Regional Office is accountable, having assumed such accountability on (________________).</t>
  </si>
  <si>
    <t>For which, ROBERT BACANGGOY - Engineer III, NFA-Caraga Regional Office is accountable, having assumed such accountability on (________________).</t>
  </si>
  <si>
    <t>For which, VERALEW DG. DE VERA - Regional Manager II, NFA-Caraga Regional Office is accountable, having assumed such accountability on (________________).</t>
  </si>
  <si>
    <t>For which, ROEL D. CAPERIG - PMO, NFA-Caraga Regional Office is accountable, having assumed such accountability on (________________).</t>
  </si>
  <si>
    <t>For which, LOVELLA MAY AWING - Acting Accountant IV, NFA-Caraga Regional Office is accountable, having assumed such accountability on (________________).</t>
  </si>
  <si>
    <t>SOFA SET</t>
  </si>
  <si>
    <t>2023-NFA-00B-FF-I-003</t>
  </si>
  <si>
    <t xml:space="preserve">KOPPEL 3.0 TR FLOOR MOUNTED INVERTER SUPER INVERTER </t>
  </si>
  <si>
    <t>2023-NFA-00B-OE-C-022</t>
  </si>
  <si>
    <t>SYNOLOGY DS923+ 4BAY DISKSTATION NETWORK ATTACHED STORAGE (NAS) WITH 4PCS NAS 3.5" SATA HARDRIVE AND 16GB SODIMM MEMORY</t>
  </si>
  <si>
    <t>2023-NFA-00B-DP-B-001</t>
  </si>
  <si>
    <t>2023-NFA-00B-FF-L-003</t>
  </si>
  <si>
    <t>DJI AIR 2S DRONE FLY MORE COMBO BUNDLE Inclusion: Aircraft, Remote Controller, Flight Battery, Charging Hub, Power  Adapter, Travel Bag, AC Power Cable, USB Cable, ND Filters</t>
  </si>
  <si>
    <t>2023-NFA-00B-CM-I-001</t>
  </si>
  <si>
    <t>WINDOW BLINDS (Blue)</t>
  </si>
  <si>
    <t>for IIRUP</t>
  </si>
  <si>
    <t>Libertad Staffhouse</t>
  </si>
  <si>
    <t>Republic of the Philippines</t>
  </si>
  <si>
    <t>PROPERTY ACKNOWLEDGEMENT RECEIPT</t>
  </si>
  <si>
    <t xml:space="preserve">DATE                  : </t>
  </si>
  <si>
    <t>PAR Number  :</t>
  </si>
  <si>
    <t>PROPERTY NUMBER</t>
  </si>
  <si>
    <t>UNIT</t>
  </si>
  <si>
    <t>ITEM DESCRIPTION</t>
  </si>
  <si>
    <t>UNIT COST</t>
  </si>
  <si>
    <t>TOTAL COST</t>
  </si>
  <si>
    <t>E.U.L</t>
  </si>
  <si>
    <t>RECEIVED FROM:</t>
  </si>
  <si>
    <t>RECEIVED BY:</t>
  </si>
  <si>
    <t>APPROVED BY:</t>
  </si>
  <si>
    <t>1500-2024-001</t>
  </si>
  <si>
    <t>REJORIE R. ONDE</t>
  </si>
  <si>
    <t>OIC Regional Manager</t>
  </si>
  <si>
    <t>Acting SAO</t>
  </si>
  <si>
    <t>1500-2024-002</t>
  </si>
  <si>
    <t>xxxNothing Followsxxx</t>
  </si>
  <si>
    <t>1/1/2018</t>
  </si>
  <si>
    <t>Truck Driver</t>
  </si>
  <si>
    <t>RSQAO</t>
  </si>
  <si>
    <t>1500-2024-004</t>
  </si>
  <si>
    <t>1500-2024-003</t>
  </si>
  <si>
    <t>1500-2024-005</t>
  </si>
  <si>
    <t>1500-2024-006</t>
  </si>
  <si>
    <t>Acting Accountant IV</t>
  </si>
  <si>
    <t>1500-2024-007</t>
  </si>
  <si>
    <t>1500-2024-008</t>
  </si>
  <si>
    <t>Engineer III</t>
  </si>
  <si>
    <t>1500-2024-009</t>
  </si>
  <si>
    <t>2024-NFA-00B-OE-C-002</t>
  </si>
  <si>
    <t>EPSON L15150 A3 Wi-Fi Duplex All-in-One Ink Tank</t>
  </si>
  <si>
    <t>2024-NFA-00B-DP-D-001</t>
  </si>
  <si>
    <t>2024-NFA-00B-TS-H-001</t>
  </si>
  <si>
    <t>2024-NFA-00B-OE-C-003</t>
  </si>
  <si>
    <t>SOFA SET (2 Seater &amp; 3 Seater)</t>
  </si>
  <si>
    <t>2024-NFA-00B-FF-I-001</t>
  </si>
  <si>
    <t>YAMAHA DTX452K 5-PIECE ELECTRONIC DRUM KIT</t>
  </si>
  <si>
    <t>DINING CHAIRS, SIX (6) PCS, GRAY COLOR</t>
  </si>
  <si>
    <t>2024-NFA-00B-FF-c-001</t>
  </si>
  <si>
    <t>Yamaha DBR12 2-WAY, BI AMP POWERED SPEAKER</t>
  </si>
  <si>
    <t>2024-NFA-00B-CM-G-001</t>
  </si>
  <si>
    <t>2024-NFA-00B-CM-G-002</t>
  </si>
  <si>
    <t>EFDZ01077</t>
  </si>
  <si>
    <t>EFDZ01078</t>
  </si>
  <si>
    <t>TELEVISION, LED, 75 INCHES SONY</t>
  </si>
  <si>
    <t>2024-NFA-OOB-CM-G-001</t>
  </si>
  <si>
    <t>ANTONIO ROSARIO U. LAGRIMAS II</t>
  </si>
  <si>
    <t>HYDE BETH M. PASCUAL</t>
  </si>
  <si>
    <t>SAO</t>
  </si>
  <si>
    <t>Mechanical Platform Scale, Model DB1T, 1000 Capacity</t>
  </si>
  <si>
    <t>2025-NFA-00B-WE-D-011</t>
  </si>
  <si>
    <t>2025-NFA-00B-WE-D-012</t>
  </si>
  <si>
    <t>2025-NFA-00B-WE-D-013</t>
  </si>
  <si>
    <t>2025-NFA-00B-WE-D-014</t>
  </si>
  <si>
    <t>2025-NFA-00B-WE-D-015</t>
  </si>
  <si>
    <t>2025-NFA-00B-WE-D-016</t>
  </si>
  <si>
    <t>2025-NFA-00B-WE-D-017</t>
  </si>
  <si>
    <t>2025-NFA-00B-WE-D-018</t>
  </si>
  <si>
    <t>2025-NFA-00B-WE-D-019</t>
  </si>
  <si>
    <t>2025-NFA-00B-WE-D-020</t>
  </si>
  <si>
    <t>2025-NFA-00B-WE-D-021</t>
  </si>
  <si>
    <t>2025-NFA-00B-WE-D-022</t>
  </si>
  <si>
    <t>2025-NFA-00B-WE-D-023</t>
  </si>
  <si>
    <t>2025-NFA-00B-WE-D-024</t>
  </si>
  <si>
    <t>2025-NFA-00B-WE-D-025</t>
  </si>
  <si>
    <t>Grain Moisture Meter, Model: PM450 Kett with Hardcase</t>
  </si>
  <si>
    <t>2025-NFA-00B-TS-C-001</t>
  </si>
  <si>
    <t>2025-NFA-00B-TS-C-002</t>
  </si>
  <si>
    <t>2025-NFA-00B-TS-C-003</t>
  </si>
  <si>
    <t>2025-NFA-00B-TS-C-004</t>
  </si>
  <si>
    <t>2025-NFA-00B-TS-C-005</t>
  </si>
  <si>
    <t>2025-NFA-00B-TS-C-006</t>
  </si>
  <si>
    <t>2025-NFA-00B-TS-C-007</t>
  </si>
  <si>
    <t>2025-NFA-00B-TS-C-008</t>
  </si>
  <si>
    <t>2025-NFA-00B-TS-C-009</t>
  </si>
  <si>
    <t>2025-NFA-00B-TS-C-010</t>
  </si>
  <si>
    <t>CD22157</t>
  </si>
  <si>
    <t>CD22158</t>
  </si>
  <si>
    <t>CD22159</t>
  </si>
  <si>
    <t>CD22160</t>
  </si>
  <si>
    <t>CD22161</t>
  </si>
  <si>
    <t>CD22162</t>
  </si>
  <si>
    <t>CD22163</t>
  </si>
  <si>
    <t>CD22164</t>
  </si>
  <si>
    <t>CD22165</t>
  </si>
  <si>
    <t>CD22166</t>
  </si>
  <si>
    <t>2025-NFA-00B-TS-C-001.1</t>
  </si>
  <si>
    <t>Grain Moisture Meter Biasing Kit (Software, RS232 Cable, Maintainance Cable VZC-49, MSI Laptop 15.6" FHD Core i5 512gb SSD S/N K2406N0050944)</t>
  </si>
  <si>
    <t>24.5 CU. FT. INVERTER SIDE BY SIDE REFRIGERATOR</t>
  </si>
  <si>
    <t>2025-NFA-00B-OE-T-001</t>
  </si>
  <si>
    <t>411TRDPDV970</t>
  </si>
  <si>
    <t>540P328930145160820099</t>
  </si>
  <si>
    <t>540Q092660248200820069</t>
  </si>
  <si>
    <t>As of Dec. 31, 2025</t>
  </si>
  <si>
    <t>QAS Section</t>
  </si>
  <si>
    <t>Libertad Compound</t>
  </si>
  <si>
    <t>RO Lobby</t>
  </si>
  <si>
    <t>Supply Room</t>
  </si>
  <si>
    <t>Common Storage Room (Libertad)</t>
  </si>
  <si>
    <t>FM Section</t>
  </si>
  <si>
    <t>ANTONIO ROSARIO U. LAGRIMAS</t>
  </si>
  <si>
    <t>ARM's Office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</si>
</sst>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1" formatCode="_-* #,##0_-;\-* #,##0_-;_-* &quot;-&quot;_-;_-@_-"/>
    <numFmt numFmtId="43" formatCode="_-* #,##0.00_-;\-* #,##0.00_-;_-* &quot;-&quot;??_-;_-@_-"/>
    <numFmt numFmtId="164" formatCode="_(* #,##0.00_);_(* \(#,##0.00\);_(* &quot;-&quot;??_);_(@_)"/>
    <numFmt numFmtId="165" formatCode="[$-3409]mmmm\ dd\,\ yyyy;@"/>
    <numFmt numFmtId="166" formatCode="_(* #,##0_);_(* \(#,##0\);_(* &quot;-&quot;??_);_(@_)"/>
    <numFmt numFmtId="167" formatCode="mm/dd/yyyy;@"/>
    <numFmt numFmtId="168" formatCode="[$-409]mmmm\ d\,\ yyyy;@"/>
  </numFmts>
  <fonts count="51"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b/>
      <sz val="18"/>
      <color rgb="FF002060"/>
      <name val="Arial"/>
      <family val="2"/>
    </font>
    <font>
      <b/>
      <sz val="12"/>
      <color rgb="FF002060"/>
      <name val="Arial"/>
      <family val="2"/>
    </font>
    <font>
      <b/>
      <sz val="8"/>
      <color theme="1"/>
      <name val="Arial"/>
      <family val="2"/>
    </font>
    <font>
      <u/>
      <sz val="11"/>
      <color theme="10"/>
      <name val="Calibri"/>
      <family val="2"/>
      <scheme val="minor"/>
    </font>
    <font>
      <sz val="11"/>
      <color theme="3" tint="-0.499984740745262"/>
      <name val="Calibri"/>
      <family val="2"/>
      <scheme val="minor"/>
    </font>
    <font>
      <b/>
      <sz val="10"/>
      <color rgb="FF002060"/>
      <name val="Arial"/>
      <family val="2"/>
    </font>
    <font>
      <sz val="12"/>
      <color theme="1"/>
      <name val="Calibri"/>
      <family val="2"/>
      <scheme val="minor"/>
    </font>
    <font>
      <b/>
      <sz val="12"/>
      <color theme="1"/>
      <name val="Calibri"/>
      <family val="2"/>
      <scheme val="minor"/>
    </font>
    <font>
      <sz val="12"/>
      <color theme="3" tint="-0.499984740745262"/>
      <name val="Calibri"/>
      <family val="2"/>
      <scheme val="minor"/>
    </font>
    <font>
      <sz val="10"/>
      <name val="Arial"/>
      <family val="2"/>
    </font>
    <font>
      <sz val="9"/>
      <color indexed="81"/>
      <name val="Tahoma"/>
      <family val="2"/>
    </font>
    <font>
      <b/>
      <sz val="9"/>
      <color indexed="81"/>
      <name val="Tahoma"/>
      <family val="2"/>
    </font>
    <font>
      <sz val="10"/>
      <color theme="1"/>
      <name val="Arial Narrow"/>
      <family val="2"/>
    </font>
    <font>
      <b/>
      <sz val="10"/>
      <color theme="1"/>
      <name val="Arial Narrow"/>
      <family val="2"/>
    </font>
    <font>
      <u/>
      <sz val="10"/>
      <color theme="10"/>
      <name val="Arial Narrow"/>
      <family val="2"/>
    </font>
    <font>
      <b/>
      <u/>
      <sz val="10"/>
      <color theme="10"/>
      <name val="Arial Narrow"/>
      <family val="2"/>
    </font>
    <font>
      <b/>
      <sz val="10"/>
      <color rgb="FF0070C0"/>
      <name val="Arial Narrow"/>
      <family val="2"/>
    </font>
    <font>
      <sz val="10"/>
      <color rgb="FF0070C0"/>
      <name val="Arial Narrow"/>
      <family val="2"/>
    </font>
    <font>
      <b/>
      <sz val="9"/>
      <color theme="1"/>
      <name val="Arial Narrow"/>
      <family val="2"/>
    </font>
    <font>
      <i/>
      <sz val="10"/>
      <color theme="1"/>
      <name val="Arial Narrow"/>
      <family val="2"/>
    </font>
    <font>
      <sz val="10"/>
      <name val="Arial Narrow"/>
      <family val="2"/>
    </font>
    <font>
      <b/>
      <sz val="8"/>
      <color theme="1"/>
      <name val="Arial Narrow"/>
      <family val="2"/>
    </font>
    <font>
      <sz val="10"/>
      <color indexed="8"/>
      <name val="Arial Narrow"/>
      <family val="2"/>
    </font>
    <font>
      <sz val="11"/>
      <color theme="1"/>
      <name val="Arial Narrow"/>
      <family val="2"/>
    </font>
    <font>
      <b/>
      <sz val="11"/>
      <name val="Calibri"/>
      <family val="2"/>
      <scheme val="minor"/>
    </font>
    <font>
      <b/>
      <vertAlign val="superscript"/>
      <sz val="11"/>
      <color theme="1"/>
      <name val="Calibri"/>
      <family val="2"/>
      <scheme val="minor"/>
    </font>
    <font>
      <i/>
      <sz val="11"/>
      <color theme="1"/>
      <name val="Calibri"/>
      <family val="2"/>
      <scheme val="minor"/>
    </font>
    <font>
      <sz val="11"/>
      <name val="Calibri"/>
      <family val="2"/>
      <scheme val="minor"/>
    </font>
    <font>
      <sz val="3"/>
      <color theme="1"/>
      <name val="Calibri"/>
      <family val="2"/>
      <scheme val="minor"/>
    </font>
    <font>
      <b/>
      <u/>
      <sz val="11"/>
      <color theme="1"/>
      <name val="Calibri"/>
      <family val="2"/>
      <scheme val="minor"/>
    </font>
    <font>
      <u/>
      <sz val="11"/>
      <name val="Calibri"/>
      <family val="2"/>
      <scheme val="minor"/>
    </font>
    <font>
      <sz val="8"/>
      <color theme="1"/>
      <name val="Calibri"/>
      <family val="2"/>
      <scheme val="minor"/>
    </font>
    <font>
      <sz val="11"/>
      <color theme="1"/>
      <name val="Arial"/>
      <family val="2"/>
    </font>
    <font>
      <b/>
      <sz val="11"/>
      <color theme="1"/>
      <name val="Arial"/>
      <family val="2"/>
    </font>
    <font>
      <i/>
      <sz val="11"/>
      <color theme="1"/>
      <name val="Arial"/>
      <family val="2"/>
    </font>
    <font>
      <u/>
      <sz val="11"/>
      <color theme="10"/>
      <name val="Arial"/>
      <family val="2"/>
    </font>
    <font>
      <b/>
      <u/>
      <sz val="11"/>
      <color theme="10"/>
      <name val="Arial"/>
      <family val="2"/>
    </font>
    <font>
      <sz val="11"/>
      <name val="Arial"/>
      <family val="2"/>
    </font>
    <font>
      <sz val="11"/>
      <color indexed="8"/>
      <name val="Arial"/>
      <family val="2"/>
    </font>
    <font>
      <sz val="11"/>
      <color rgb="FF0070C0"/>
      <name val="Arial"/>
      <family val="2"/>
    </font>
    <font>
      <b/>
      <sz val="11"/>
      <color rgb="FF0070C0"/>
      <name val="Arial"/>
      <family val="2"/>
    </font>
    <font>
      <b/>
      <u/>
      <sz val="11"/>
      <color theme="1"/>
      <name val="Arial"/>
      <family val="2"/>
    </font>
    <font>
      <sz val="9"/>
      <color theme="1"/>
      <name val="Arial Narrow"/>
      <family val="2"/>
    </font>
    <font>
      <b/>
      <sz val="12"/>
      <color theme="1"/>
      <name val="Arial"/>
      <family val="2"/>
    </font>
    <font>
      <u/>
      <sz val="11"/>
      <color theme="1"/>
      <name val="Arial"/>
      <family val="2"/>
    </font>
    <font>
      <b/>
      <sz val="11"/>
      <color theme="1"/>
      <name val="Arial Narrow"/>
      <family val="2"/>
    </font>
    <font>
      <sz val="11"/>
      <name val="Arial Narrow"/>
      <family val="2"/>
    </font>
  </fonts>
  <fills count="3">
    <fill>
      <patternFill patternType="none"/>
    </fill>
    <fill>
      <patternFill patternType="gray125"/>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6">
    <xf numFmtId="0" fontId="0" fillId="0" borderId="0"/>
    <xf numFmtId="164" fontId="1" fillId="0" borderId="0" applyFont="0" applyFill="0" applyBorder="0" applyAlignment="0" applyProtection="0"/>
    <xf numFmtId="0" fontId="3" fillId="0" borderId="0" applyNumberFormat="0" applyFill="0" applyBorder="0" applyAlignment="0" applyProtection="0">
      <alignment vertical="top"/>
      <protection locked="0"/>
    </xf>
    <xf numFmtId="0" fontId="7" fillId="0" borderId="0" applyNumberFormat="0" applyFill="0" applyBorder="0" applyAlignment="0" applyProtection="0"/>
    <xf numFmtId="164" fontId="13" fillId="0" borderId="0" applyFont="0" applyFill="0" applyBorder="0" applyAlignment="0" applyProtection="0"/>
    <xf numFmtId="0" fontId="13" fillId="0" borderId="0"/>
  </cellStyleXfs>
  <cellXfs count="488">
    <xf numFmtId="0" fontId="0" fillId="0" borderId="0" xfId="0"/>
    <xf numFmtId="0" fontId="5" fillId="0" borderId="0" xfId="0" applyFont="1" applyAlignment="1">
      <alignment vertical="top"/>
    </xf>
    <xf numFmtId="0" fontId="6" fillId="0" borderId="0" xfId="0" applyFont="1" applyAlignment="1">
      <alignment vertical="center"/>
    </xf>
    <xf numFmtId="0" fontId="0" fillId="0" borderId="0" xfId="0" applyAlignment="1">
      <alignment vertical="top"/>
    </xf>
    <xf numFmtId="0" fontId="8" fillId="0" borderId="0" xfId="3" applyFont="1" applyAlignment="1">
      <alignment vertical="center"/>
    </xf>
    <xf numFmtId="0" fontId="9" fillId="0" borderId="0" xfId="0" applyFont="1" applyAlignment="1">
      <alignment horizontal="justify" vertical="center"/>
    </xf>
    <xf numFmtId="0" fontId="10" fillId="0" borderId="0" xfId="0" applyFont="1"/>
    <xf numFmtId="0" fontId="11" fillId="0" borderId="0" xfId="0" applyFont="1"/>
    <xf numFmtId="0" fontId="12" fillId="0" borderId="0" xfId="0" applyFont="1"/>
    <xf numFmtId="0" fontId="0" fillId="0" borderId="0" xfId="0" applyBorder="1"/>
    <xf numFmtId="0" fontId="10" fillId="0" borderId="0" xfId="0" applyFont="1" applyBorder="1"/>
    <xf numFmtId="0" fontId="10" fillId="0" borderId="0" xfId="0" applyFont="1" applyBorder="1" applyAlignment="1">
      <alignment horizontal="center" vertical="top" wrapText="1"/>
    </xf>
    <xf numFmtId="0" fontId="0" fillId="0" borderId="0" xfId="0" applyBorder="1" applyAlignment="1">
      <alignment horizontal="center" vertical="center" wrapText="1"/>
    </xf>
    <xf numFmtId="0" fontId="10" fillId="0" borderId="0" xfId="0" applyFont="1" applyBorder="1" applyAlignment="1">
      <alignment horizontal="center"/>
    </xf>
    <xf numFmtId="0" fontId="2" fillId="0" borderId="0" xfId="0" applyFont="1" applyBorder="1"/>
    <xf numFmtId="0" fontId="10" fillId="0" borderId="0" xfId="0" applyFont="1" applyBorder="1" applyAlignment="1"/>
    <xf numFmtId="0" fontId="10" fillId="0" borderId="0" xfId="0" applyFont="1" applyBorder="1" applyAlignment="1">
      <alignment vertical="center" wrapText="1"/>
    </xf>
    <xf numFmtId="0" fontId="10" fillId="0" borderId="0" xfId="0" applyFont="1" applyBorder="1" applyAlignment="1">
      <alignment shrinkToFit="1"/>
    </xf>
    <xf numFmtId="0" fontId="11" fillId="0" borderId="0" xfId="0" applyFont="1" applyBorder="1" applyAlignment="1"/>
    <xf numFmtId="0" fontId="10" fillId="0" borderId="0" xfId="0" applyFont="1" applyBorder="1" applyAlignment="1">
      <alignment vertical="center"/>
    </xf>
    <xf numFmtId="0" fontId="16" fillId="0" borderId="0" xfId="0" applyFont="1"/>
    <xf numFmtId="0" fontId="16" fillId="0" borderId="0" xfId="0" applyFont="1" applyAlignment="1"/>
    <xf numFmtId="0" fontId="16" fillId="0" borderId="0" xfId="0" applyFont="1" applyAlignment="1">
      <alignment horizontal="left"/>
    </xf>
    <xf numFmtId="0" fontId="16" fillId="2" borderId="0" xfId="0" applyFont="1" applyFill="1"/>
    <xf numFmtId="164" fontId="16" fillId="0" borderId="0" xfId="1" applyFont="1"/>
    <xf numFmtId="0" fontId="16" fillId="0" borderId="1" xfId="0" applyFont="1" applyFill="1" applyBorder="1" applyAlignment="1">
      <alignment horizontal="center" vertical="center" wrapText="1"/>
    </xf>
    <xf numFmtId="164" fontId="16" fillId="0" borderId="1" xfId="1" applyFont="1" applyFill="1" applyBorder="1" applyAlignment="1">
      <alignment horizontal="center" vertical="center" wrapText="1"/>
    </xf>
    <xf numFmtId="0" fontId="17" fillId="0" borderId="1" xfId="0" applyFont="1" applyFill="1" applyBorder="1" applyAlignment="1">
      <alignment horizontal="left" vertical="center"/>
    </xf>
    <xf numFmtId="0" fontId="16" fillId="0" borderId="1" xfId="0" applyFont="1" applyFill="1" applyBorder="1" applyAlignment="1">
      <alignment horizontal="left" vertical="center" wrapText="1"/>
    </xf>
    <xf numFmtId="14" fontId="16" fillId="0" borderId="1" xfId="0" applyNumberFormat="1" applyFont="1" applyFill="1" applyBorder="1" applyAlignment="1">
      <alignment horizontal="center" vertical="center" shrinkToFit="1"/>
    </xf>
    <xf numFmtId="0" fontId="16" fillId="2" borderId="1" xfId="0" applyFont="1" applyFill="1" applyBorder="1" applyAlignment="1">
      <alignment horizontal="left" vertical="center" shrinkToFit="1"/>
    </xf>
    <xf numFmtId="164" fontId="16" fillId="0" borderId="1" xfId="1" applyFont="1" applyFill="1" applyBorder="1" applyAlignment="1">
      <alignment horizontal="center" vertical="center" shrinkToFit="1"/>
    </xf>
    <xf numFmtId="0" fontId="16" fillId="0" borderId="1" xfId="0" applyFont="1" applyFill="1" applyBorder="1" applyAlignment="1">
      <alignment horizontal="left" vertical="center" shrinkToFit="1"/>
    </xf>
    <xf numFmtId="0" fontId="18" fillId="0" borderId="2" xfId="2" applyFont="1" applyFill="1" applyBorder="1" applyAlignment="1" applyProtection="1">
      <alignment horizontal="center" vertical="center" shrinkToFit="1"/>
    </xf>
    <xf numFmtId="0" fontId="18" fillId="0" borderId="1" xfId="2" applyFont="1" applyFill="1" applyBorder="1" applyAlignment="1" applyProtection="1">
      <alignment horizontal="center" vertical="center"/>
    </xf>
    <xf numFmtId="164" fontId="17" fillId="0" borderId="1" xfId="1" applyFont="1" applyFill="1" applyBorder="1" applyAlignment="1">
      <alignment horizontal="center" vertical="center" shrinkToFit="1"/>
    </xf>
    <xf numFmtId="0" fontId="16" fillId="0" borderId="1" xfId="0" applyFont="1" applyFill="1" applyBorder="1" applyAlignment="1">
      <alignment horizontal="center" vertical="center"/>
    </xf>
    <xf numFmtId="14" fontId="16" fillId="0" borderId="1" xfId="0" quotePrefix="1" applyNumberFormat="1" applyFont="1" applyFill="1" applyBorder="1" applyAlignment="1">
      <alignment horizontal="center" vertical="center" shrinkToFit="1"/>
    </xf>
    <xf numFmtId="0" fontId="17" fillId="0" borderId="0" xfId="0" applyFont="1"/>
    <xf numFmtId="14" fontId="17" fillId="0" borderId="1" xfId="0" applyNumberFormat="1" applyFont="1" applyFill="1" applyBorder="1" applyAlignment="1">
      <alignment horizontal="center" vertical="center" shrinkToFit="1"/>
    </xf>
    <xf numFmtId="0" fontId="17" fillId="0" borderId="1" xfId="0" applyFont="1" applyFill="1" applyBorder="1" applyAlignment="1">
      <alignment horizontal="left" vertical="center" wrapText="1"/>
    </xf>
    <xf numFmtId="0" fontId="17" fillId="0" borderId="1" xfId="0" applyFont="1" applyFill="1" applyBorder="1" applyAlignment="1">
      <alignment horizontal="left" vertical="center" shrinkToFit="1"/>
    </xf>
    <xf numFmtId="0" fontId="19" fillId="0" borderId="1" xfId="2" applyFont="1" applyFill="1" applyBorder="1" applyAlignment="1" applyProtection="1">
      <alignment horizontal="center" vertical="center"/>
    </xf>
    <xf numFmtId="0" fontId="17" fillId="2" borderId="0" xfId="0" applyFont="1" applyFill="1"/>
    <xf numFmtId="0" fontId="18" fillId="0" borderId="1" xfId="2" applyFont="1" applyFill="1" applyBorder="1" applyAlignment="1" applyProtection="1">
      <alignment horizontal="center" vertical="center" shrinkToFit="1"/>
    </xf>
    <xf numFmtId="43" fontId="20" fillId="0" borderId="1" xfId="0" applyNumberFormat="1" applyFont="1" applyFill="1" applyBorder="1" applyAlignment="1">
      <alignment horizontal="left" vertical="center" shrinkToFit="1"/>
    </xf>
    <xf numFmtId="0" fontId="16" fillId="0" borderId="3" xfId="0" applyFont="1" applyFill="1" applyBorder="1" applyAlignment="1">
      <alignment horizontal="center" vertical="center"/>
    </xf>
    <xf numFmtId="164" fontId="21" fillId="0" borderId="1" xfId="0" applyNumberFormat="1" applyFont="1" applyFill="1" applyBorder="1" applyAlignment="1">
      <alignment horizontal="left" vertical="center" shrinkToFit="1"/>
    </xf>
    <xf numFmtId="0" fontId="17" fillId="0" borderId="0" xfId="0" applyFont="1" applyAlignment="1">
      <alignment horizontal="left"/>
    </xf>
    <xf numFmtId="0" fontId="18" fillId="0" borderId="0" xfId="2" applyFont="1" applyFill="1" applyBorder="1" applyAlignment="1" applyProtection="1">
      <alignment horizontal="center" vertical="center"/>
    </xf>
    <xf numFmtId="14" fontId="16" fillId="0" borderId="4" xfId="0" quotePrefix="1" applyNumberFormat="1" applyFont="1" applyFill="1" applyBorder="1" applyAlignment="1">
      <alignment horizontal="center" vertical="center" shrinkToFit="1"/>
    </xf>
    <xf numFmtId="0" fontId="16" fillId="0" borderId="4" xfId="0" applyFont="1" applyFill="1" applyBorder="1" applyAlignment="1">
      <alignment horizontal="left" vertical="center" wrapText="1"/>
    </xf>
    <xf numFmtId="0" fontId="16" fillId="2" borderId="4" xfId="0" applyFont="1" applyFill="1" applyBorder="1" applyAlignment="1">
      <alignment horizontal="left" vertical="center" shrinkToFit="1"/>
    </xf>
    <xf numFmtId="0" fontId="16" fillId="0" borderId="4" xfId="0" applyFont="1" applyFill="1" applyBorder="1" applyAlignment="1">
      <alignment horizontal="left" vertical="center" shrinkToFit="1"/>
    </xf>
    <xf numFmtId="164" fontId="16" fillId="0" borderId="4" xfId="1" applyFont="1" applyFill="1" applyBorder="1" applyAlignment="1">
      <alignment horizontal="center" vertical="center" shrinkToFit="1"/>
    </xf>
    <xf numFmtId="0" fontId="16" fillId="0" borderId="1" xfId="0" applyFont="1" applyBorder="1"/>
    <xf numFmtId="14" fontId="16" fillId="0" borderId="1" xfId="0" applyNumberFormat="1" applyFont="1" applyBorder="1" applyAlignment="1">
      <alignment horizontal="center" shrinkToFit="1"/>
    </xf>
    <xf numFmtId="0" fontId="16" fillId="0" borderId="1" xfId="0" applyFont="1" applyBorder="1" applyAlignment="1">
      <alignment horizontal="left" shrinkToFit="1"/>
    </xf>
    <xf numFmtId="166" fontId="16" fillId="0" borderId="1" xfId="1" applyNumberFormat="1" applyFont="1" applyFill="1" applyBorder="1" applyAlignment="1">
      <alignment vertical="center" shrinkToFit="1"/>
    </xf>
    <xf numFmtId="0" fontId="16" fillId="2" borderId="1" xfId="0" applyFont="1" applyFill="1" applyBorder="1" applyAlignment="1">
      <alignment horizontal="center" vertical="center" wrapText="1"/>
    </xf>
    <xf numFmtId="0" fontId="17" fillId="2" borderId="1" xfId="0" applyFont="1" applyFill="1" applyBorder="1" applyAlignment="1">
      <alignment horizontal="left" vertical="center" shrinkToFit="1"/>
    </xf>
    <xf numFmtId="0" fontId="17" fillId="0" borderId="1" xfId="0" applyFont="1" applyFill="1" applyBorder="1" applyAlignment="1">
      <alignment horizontal="center" vertical="center" wrapText="1"/>
    </xf>
    <xf numFmtId="0" fontId="16" fillId="0" borderId="0" xfId="0" applyFont="1" applyAlignment="1">
      <alignment horizontal="center"/>
    </xf>
    <xf numFmtId="0" fontId="17" fillId="0" borderId="0" xfId="0" applyFont="1" applyFill="1" applyBorder="1" applyAlignment="1">
      <alignment horizontal="center" vertical="center" wrapText="1"/>
    </xf>
    <xf numFmtId="0" fontId="16" fillId="0" borderId="1" xfId="0" applyFont="1" applyFill="1" applyBorder="1" applyAlignment="1">
      <alignment horizontal="center" vertical="center" shrinkToFit="1"/>
    </xf>
    <xf numFmtId="0" fontId="17" fillId="0" borderId="1" xfId="0" applyFont="1" applyFill="1" applyBorder="1" applyAlignment="1">
      <alignment horizontal="center" vertical="center" shrinkToFit="1"/>
    </xf>
    <xf numFmtId="43" fontId="16" fillId="0" borderId="1" xfId="0" applyNumberFormat="1" applyFont="1" applyFill="1" applyBorder="1" applyAlignment="1">
      <alignment horizontal="left" vertical="center" shrinkToFit="1"/>
    </xf>
    <xf numFmtId="166" fontId="16" fillId="0" borderId="1" xfId="1" applyNumberFormat="1" applyFont="1" applyFill="1" applyBorder="1" applyAlignment="1">
      <alignment horizontal="center" vertical="center" shrinkToFit="1"/>
    </xf>
    <xf numFmtId="14" fontId="17" fillId="0" borderId="0" xfId="0" applyNumberFormat="1" applyFont="1" applyFill="1" applyBorder="1" applyAlignment="1">
      <alignment horizontal="center" vertical="center" shrinkToFit="1"/>
    </xf>
    <xf numFmtId="0" fontId="16" fillId="0" borderId="0" xfId="0" applyFont="1" applyAlignment="1">
      <alignment vertical="center"/>
    </xf>
    <xf numFmtId="0" fontId="16" fillId="0" borderId="1" xfId="0" applyFont="1" applyBorder="1" applyAlignment="1">
      <alignment vertical="center"/>
    </xf>
    <xf numFmtId="0" fontId="24" fillId="0" borderId="0" xfId="0" applyFont="1" applyAlignment="1">
      <alignment horizontal="left" vertical="center"/>
    </xf>
    <xf numFmtId="0" fontId="16" fillId="2" borderId="0" xfId="0" applyFont="1" applyFill="1" applyAlignment="1">
      <alignment vertical="center"/>
    </xf>
    <xf numFmtId="164" fontId="16" fillId="0" borderId="0" xfId="1" applyFont="1" applyAlignment="1"/>
    <xf numFmtId="0" fontId="16" fillId="0" borderId="1" xfId="0" applyFont="1" applyFill="1" applyBorder="1" applyAlignment="1">
      <alignment vertical="center" wrapText="1"/>
    </xf>
    <xf numFmtId="0" fontId="16" fillId="0" borderId="1" xfId="0" applyFont="1" applyFill="1" applyBorder="1" applyAlignment="1">
      <alignment vertical="center" shrinkToFit="1"/>
    </xf>
    <xf numFmtId="0" fontId="17" fillId="0" borderId="1" xfId="0" applyFont="1" applyFill="1" applyBorder="1" applyAlignment="1">
      <alignment vertical="center" shrinkToFit="1"/>
    </xf>
    <xf numFmtId="43" fontId="20" fillId="0" borderId="1" xfId="0" applyNumberFormat="1" applyFont="1" applyFill="1" applyBorder="1" applyAlignment="1">
      <alignment vertical="center" shrinkToFit="1"/>
    </xf>
    <xf numFmtId="0" fontId="16" fillId="0" borderId="1" xfId="0" quotePrefix="1" applyFont="1" applyFill="1" applyBorder="1" applyAlignment="1">
      <alignment vertical="center" shrinkToFit="1"/>
    </xf>
    <xf numFmtId="164" fontId="21" fillId="0" borderId="1" xfId="0" applyNumberFormat="1" applyFont="1" applyFill="1" applyBorder="1" applyAlignment="1">
      <alignment vertical="center" shrinkToFit="1"/>
    </xf>
    <xf numFmtId="0" fontId="16" fillId="0" borderId="4" xfId="0" applyFont="1" applyFill="1" applyBorder="1" applyAlignment="1">
      <alignment vertical="center" shrinkToFit="1"/>
    </xf>
    <xf numFmtId="0" fontId="16" fillId="0" borderId="1" xfId="0" applyFont="1" applyFill="1" applyBorder="1" applyAlignment="1">
      <alignment shrinkToFit="1"/>
    </xf>
    <xf numFmtId="0" fontId="16" fillId="0" borderId="4" xfId="0" applyFont="1" applyFill="1" applyBorder="1" applyAlignment="1">
      <alignment horizontal="left" vertical="center" wrapText="1" shrinkToFit="1"/>
    </xf>
    <xf numFmtId="0" fontId="24" fillId="0" borderId="1" xfId="0" applyFont="1" applyFill="1" applyBorder="1" applyAlignment="1">
      <alignment vertical="center" wrapText="1"/>
    </xf>
    <xf numFmtId="0" fontId="24" fillId="0" borderId="1" xfId="0" applyFont="1" applyFill="1" applyBorder="1" applyAlignment="1">
      <alignment vertical="center"/>
    </xf>
    <xf numFmtId="164" fontId="26" fillId="0" borderId="1" xfId="1" applyFont="1" applyFill="1" applyBorder="1" applyAlignment="1">
      <alignment vertical="center"/>
    </xf>
    <xf numFmtId="0" fontId="19" fillId="0" borderId="3" xfId="2" applyFont="1" applyFill="1" applyBorder="1" applyAlignment="1" applyProtection="1">
      <alignment horizontal="center" vertical="center"/>
    </xf>
    <xf numFmtId="164" fontId="24" fillId="2" borderId="1" xfId="1" applyFont="1" applyFill="1" applyBorder="1" applyAlignment="1">
      <alignment vertical="center"/>
    </xf>
    <xf numFmtId="0" fontId="17" fillId="2" borderId="1" xfId="0" applyFont="1" applyFill="1" applyBorder="1" applyAlignment="1">
      <alignment horizontal="left" vertical="center"/>
    </xf>
    <xf numFmtId="164" fontId="27" fillId="0" borderId="1" xfId="1" applyFont="1" applyFill="1" applyBorder="1" applyAlignment="1">
      <alignment horizontal="center" vertical="center" shrinkToFit="1"/>
    </xf>
    <xf numFmtId="167" fontId="16" fillId="0" borderId="1" xfId="0" applyNumberFormat="1" applyFont="1" applyFill="1" applyBorder="1" applyAlignment="1">
      <alignment horizontal="right" vertical="center" shrinkToFit="1"/>
    </xf>
    <xf numFmtId="0" fontId="16" fillId="0" borderId="1" xfId="0" applyFont="1" applyFill="1" applyBorder="1" applyAlignment="1">
      <alignment horizontal="left" vertical="center" wrapText="1" shrinkToFit="1"/>
    </xf>
    <xf numFmtId="14" fontId="16" fillId="0" borderId="1" xfId="0" applyNumberFormat="1" applyFont="1" applyFill="1" applyBorder="1" applyAlignment="1">
      <alignment horizontal="right" vertical="center" shrinkToFit="1"/>
    </xf>
    <xf numFmtId="0" fontId="2" fillId="0" borderId="1" xfId="0" applyFont="1" applyBorder="1" applyAlignment="1">
      <alignment horizontal="left" vertical="center"/>
    </xf>
    <xf numFmtId="0" fontId="0" fillId="0" borderId="1" xfId="0" applyFont="1" applyFill="1" applyBorder="1" applyAlignment="1">
      <alignment vertical="center" wrapText="1"/>
    </xf>
    <xf numFmtId="0" fontId="30" fillId="0" borderId="1" xfId="0" applyFont="1" applyFill="1" applyBorder="1" applyAlignment="1">
      <alignment horizontal="center" vertical="center" wrapText="1"/>
    </xf>
    <xf numFmtId="167" fontId="30" fillId="0" borderId="1" xfId="0" applyNumberFormat="1" applyFont="1" applyFill="1" applyBorder="1" applyAlignment="1">
      <alignment horizontal="right" vertical="center" wrapText="1"/>
    </xf>
    <xf numFmtId="164" fontId="30" fillId="0" borderId="1" xfId="1" applyFont="1" applyFill="1" applyBorder="1" applyAlignment="1">
      <alignment horizontal="center" vertical="center" wrapText="1"/>
    </xf>
    <xf numFmtId="0" fontId="0" fillId="0" borderId="1" xfId="0" applyFont="1" applyBorder="1" applyAlignment="1">
      <alignment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167" fontId="0" fillId="0" borderId="1" xfId="0" applyNumberFormat="1" applyFont="1" applyFill="1" applyBorder="1" applyAlignment="1">
      <alignment horizontal="right" vertical="center" shrinkToFit="1"/>
    </xf>
    <xf numFmtId="0" fontId="0" fillId="0" borderId="1" xfId="0" applyFont="1" applyFill="1" applyBorder="1" applyAlignment="1">
      <alignment horizontal="left" vertical="center" shrinkToFit="1"/>
    </xf>
    <xf numFmtId="164" fontId="0" fillId="0" borderId="1" xfId="1" applyFont="1" applyFill="1" applyBorder="1" applyAlignment="1">
      <alignment horizontal="center" vertical="center" shrinkToFit="1"/>
    </xf>
    <xf numFmtId="0" fontId="0" fillId="0" borderId="1" xfId="0" applyFont="1" applyFill="1" applyBorder="1" applyAlignment="1">
      <alignment horizontal="center" vertical="center"/>
    </xf>
    <xf numFmtId="167" fontId="0" fillId="0" borderId="1" xfId="0" applyNumberFormat="1" applyFont="1" applyFill="1" applyBorder="1" applyAlignment="1">
      <alignment horizontal="right" vertical="center"/>
    </xf>
    <xf numFmtId="0" fontId="2" fillId="2" borderId="1" xfId="0" applyFont="1" applyFill="1" applyBorder="1" applyAlignment="1">
      <alignment horizontal="left" vertical="center"/>
    </xf>
    <xf numFmtId="0" fontId="0" fillId="2" borderId="1" xfId="0" applyFont="1" applyFill="1" applyBorder="1" applyAlignment="1">
      <alignment vertical="center" wrapText="1"/>
    </xf>
    <xf numFmtId="0" fontId="2" fillId="0" borderId="1" xfId="0" applyFont="1" applyFill="1" applyBorder="1" applyAlignment="1">
      <alignment horizontal="left" vertical="center"/>
    </xf>
    <xf numFmtId="0" fontId="32" fillId="0" borderId="0" xfId="0" applyFont="1" applyFill="1" applyBorder="1" applyAlignment="1">
      <alignment vertical="center" wrapText="1"/>
    </xf>
    <xf numFmtId="164" fontId="32" fillId="0" borderId="0" xfId="1" applyFont="1" applyFill="1" applyBorder="1" applyAlignment="1">
      <alignment vertical="center" wrapText="1"/>
    </xf>
    <xf numFmtId="0" fontId="32" fillId="0" borderId="9" xfId="0" applyFont="1" applyBorder="1" applyAlignment="1">
      <alignment vertical="center" wrapText="1"/>
    </xf>
    <xf numFmtId="0" fontId="2" fillId="0" borderId="0" xfId="0" applyFont="1" applyFill="1" applyBorder="1" applyAlignment="1">
      <alignment vertical="center"/>
    </xf>
    <xf numFmtId="0" fontId="2" fillId="0" borderId="0" xfId="0" applyFont="1" applyFill="1" applyBorder="1" applyAlignment="1">
      <alignment vertical="center" wrapText="1"/>
    </xf>
    <xf numFmtId="164" fontId="2" fillId="0" borderId="0" xfId="1" applyFont="1" applyFill="1" applyBorder="1" applyAlignment="1">
      <alignment vertical="center" wrapText="1"/>
    </xf>
    <xf numFmtId="0" fontId="0" fillId="0" borderId="9" xfId="0" applyFont="1" applyBorder="1" applyAlignment="1">
      <alignment vertical="center" wrapText="1"/>
    </xf>
    <xf numFmtId="0" fontId="0" fillId="0" borderId="0" xfId="0" applyFont="1" applyFill="1" applyBorder="1" applyAlignment="1">
      <alignment vertical="center" wrapText="1"/>
    </xf>
    <xf numFmtId="164" fontId="0" fillId="0" borderId="0" xfId="1" applyFont="1" applyFill="1" applyBorder="1" applyAlignment="1">
      <alignment vertical="center" wrapText="1"/>
    </xf>
    <xf numFmtId="0" fontId="0" fillId="0" borderId="0" xfId="0" applyFont="1" applyBorder="1" applyAlignment="1">
      <alignment vertical="center" wrapText="1"/>
    </xf>
    <xf numFmtId="0" fontId="0" fillId="0" borderId="7" xfId="0" applyFont="1" applyFill="1" applyBorder="1" applyAlignment="1">
      <alignment vertical="center" wrapText="1"/>
    </xf>
    <xf numFmtId="0" fontId="0" fillId="0" borderId="10" xfId="0" applyFont="1" applyBorder="1" applyAlignment="1">
      <alignment vertical="center" wrapText="1"/>
    </xf>
    <xf numFmtId="0" fontId="34" fillId="0" borderId="11" xfId="3" applyFont="1" applyBorder="1" applyAlignment="1">
      <alignment vertical="center"/>
    </xf>
    <xf numFmtId="164" fontId="2" fillId="0" borderId="1" xfId="1" applyFont="1" applyFill="1" applyBorder="1" applyAlignment="1">
      <alignment vertical="center" wrapText="1"/>
    </xf>
    <xf numFmtId="0" fontId="2" fillId="0" borderId="1" xfId="0"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0" applyNumberFormat="1" applyFont="1" applyFill="1" applyBorder="1" applyAlignment="1">
      <alignment horizontal="center" vertical="center" wrapText="1"/>
    </xf>
    <xf numFmtId="167" fontId="2" fillId="0" borderId="1" xfId="0" applyNumberFormat="1" applyFont="1" applyFill="1" applyBorder="1" applyAlignment="1">
      <alignment horizontal="right" vertical="center" wrapText="1"/>
    </xf>
    <xf numFmtId="164" fontId="2" fillId="0" borderId="1" xfId="1" applyFont="1" applyFill="1" applyBorder="1" applyAlignment="1">
      <alignment horizontal="center" vertical="center" wrapText="1"/>
    </xf>
    <xf numFmtId="49" fontId="2" fillId="0" borderId="1" xfId="0" applyNumberFormat="1" applyFont="1" applyBorder="1" applyAlignment="1">
      <alignment horizontal="center" vertical="center"/>
    </xf>
    <xf numFmtId="0" fontId="0" fillId="0" borderId="1" xfId="0" applyFont="1" applyBorder="1" applyAlignment="1">
      <alignment vertical="center"/>
    </xf>
    <xf numFmtId="0" fontId="0" fillId="2" borderId="1" xfId="0" applyFont="1" applyFill="1" applyBorder="1" applyAlignment="1">
      <alignment vertical="center"/>
    </xf>
    <xf numFmtId="0" fontId="2" fillId="2" borderId="1" xfId="0" applyFont="1" applyFill="1" applyBorder="1" applyAlignment="1">
      <alignment vertical="center" wrapText="1"/>
    </xf>
    <xf numFmtId="0" fontId="34" fillId="0" borderId="0" xfId="3" applyFont="1" applyBorder="1" applyAlignment="1">
      <alignment horizontal="left" vertical="center" wrapText="1"/>
    </xf>
    <xf numFmtId="0" fontId="2" fillId="0" borderId="1" xfId="0" applyFont="1" applyFill="1" applyBorder="1" applyAlignment="1">
      <alignment horizontal="center" vertical="center"/>
    </xf>
    <xf numFmtId="0" fontId="0" fillId="0" borderId="1" xfId="0" applyFont="1" applyBorder="1" applyAlignment="1">
      <alignment horizontal="left" vertical="center" wrapText="1"/>
    </xf>
    <xf numFmtId="0" fontId="0" fillId="0" borderId="0" xfId="0" applyFont="1" applyAlignment="1">
      <alignment vertical="center"/>
    </xf>
    <xf numFmtId="0" fontId="0" fillId="0" borderId="0" xfId="0" applyFont="1" applyFill="1" applyAlignment="1">
      <alignment vertical="center"/>
    </xf>
    <xf numFmtId="167" fontId="0" fillId="0" borderId="0" xfId="0" applyNumberFormat="1" applyFont="1" applyFill="1" applyAlignment="1">
      <alignment horizontal="right" vertical="center"/>
    </xf>
    <xf numFmtId="164" fontId="0" fillId="0" borderId="0" xfId="1" applyFont="1" applyFill="1" applyAlignment="1">
      <alignment vertical="center"/>
    </xf>
    <xf numFmtId="0" fontId="2" fillId="0" borderId="0" xfId="0" applyFont="1" applyAlignment="1">
      <alignment vertical="center"/>
    </xf>
    <xf numFmtId="14" fontId="0" fillId="0" borderId="1" xfId="0" applyNumberFormat="1" applyFont="1" applyBorder="1" applyAlignment="1">
      <alignment vertical="center"/>
    </xf>
    <xf numFmtId="164" fontId="0" fillId="0" borderId="1" xfId="4" applyFont="1" applyFill="1" applyBorder="1" applyAlignment="1">
      <alignment vertical="center"/>
    </xf>
    <xf numFmtId="0" fontId="0" fillId="0" borderId="1" xfId="0" applyFont="1" applyFill="1" applyBorder="1" applyAlignment="1">
      <alignment horizontal="left" vertical="center"/>
    </xf>
    <xf numFmtId="164" fontId="0" fillId="0" borderId="1" xfId="1" applyFont="1" applyFill="1" applyBorder="1" applyAlignment="1">
      <alignment vertical="center"/>
    </xf>
    <xf numFmtId="0" fontId="0" fillId="2" borderId="0" xfId="0" applyFont="1" applyFill="1" applyAlignment="1">
      <alignment vertical="center"/>
    </xf>
    <xf numFmtId="0" fontId="0" fillId="0" borderId="1" xfId="0" applyFont="1" applyFill="1" applyBorder="1" applyAlignment="1">
      <alignment vertical="center"/>
    </xf>
    <xf numFmtId="164" fontId="0" fillId="0" borderId="1" xfId="1" applyFont="1" applyFill="1" applyBorder="1" applyAlignment="1">
      <alignment horizontal="right" vertical="center"/>
    </xf>
    <xf numFmtId="167" fontId="0" fillId="0" borderId="1" xfId="0" applyNumberFormat="1" applyFont="1" applyFill="1" applyBorder="1" applyAlignment="1">
      <alignment horizontal="right" vertical="center" wrapText="1"/>
    </xf>
    <xf numFmtId="164" fontId="0" fillId="0" borderId="1" xfId="1" applyFont="1" applyFill="1" applyBorder="1" applyAlignment="1">
      <alignment horizontal="left" vertical="center" wrapText="1"/>
    </xf>
    <xf numFmtId="167" fontId="0" fillId="0" borderId="1" xfId="4" applyNumberFormat="1" applyFont="1" applyFill="1" applyBorder="1" applyAlignment="1">
      <alignment horizontal="right" vertical="center"/>
    </xf>
    <xf numFmtId="0" fontId="31" fillId="0" borderId="1" xfId="0" applyFont="1" applyFill="1" applyBorder="1" applyAlignment="1">
      <alignment vertical="center" wrapText="1"/>
    </xf>
    <xf numFmtId="167" fontId="31" fillId="0" borderId="1" xfId="4" applyNumberFormat="1" applyFont="1" applyFill="1" applyBorder="1" applyAlignment="1">
      <alignment horizontal="right" vertical="center"/>
    </xf>
    <xf numFmtId="0" fontId="31" fillId="0" borderId="1" xfId="0" applyFont="1" applyFill="1" applyBorder="1" applyAlignment="1">
      <alignment vertical="center"/>
    </xf>
    <xf numFmtId="164" fontId="31" fillId="0" borderId="1" xfId="1" applyFont="1" applyFill="1" applyBorder="1" applyAlignment="1">
      <alignment vertical="center"/>
    </xf>
    <xf numFmtId="164" fontId="0" fillId="0" borderId="0" xfId="1" applyFont="1" applyFill="1" applyBorder="1" applyAlignment="1">
      <alignment vertical="center"/>
    </xf>
    <xf numFmtId="0" fontId="31" fillId="0" borderId="1" xfId="0" applyFont="1" applyFill="1" applyBorder="1" applyAlignment="1">
      <alignment horizontal="left" vertical="center"/>
    </xf>
    <xf numFmtId="14" fontId="0" fillId="0" borderId="1" xfId="0" applyNumberFormat="1" applyFont="1" applyFill="1" applyBorder="1" applyAlignment="1">
      <alignment vertical="center"/>
    </xf>
    <xf numFmtId="4" fontId="0" fillId="0" borderId="1" xfId="0" applyNumberFormat="1" applyFont="1" applyFill="1" applyBorder="1" applyAlignment="1">
      <alignment horizontal="right" vertical="center"/>
    </xf>
    <xf numFmtId="164" fontId="0" fillId="0" borderId="1" xfId="4" applyFont="1" applyFill="1" applyBorder="1" applyAlignment="1">
      <alignment horizontal="right" vertical="center"/>
    </xf>
    <xf numFmtId="164" fontId="0" fillId="0" borderId="1" xfId="1" applyFont="1" applyFill="1" applyBorder="1" applyAlignment="1">
      <alignment horizontal="right" vertical="center" wrapText="1"/>
    </xf>
    <xf numFmtId="164" fontId="0" fillId="0" borderId="1" xfId="0" applyNumberFormat="1" applyFont="1" applyFill="1" applyBorder="1" applyAlignment="1">
      <alignment vertical="center"/>
    </xf>
    <xf numFmtId="4" fontId="0" fillId="0" borderId="1" xfId="4" applyNumberFormat="1" applyFont="1" applyFill="1" applyBorder="1" applyAlignment="1">
      <alignment horizontal="right" vertical="center"/>
    </xf>
    <xf numFmtId="4" fontId="0" fillId="0" borderId="1" xfId="0" applyNumberFormat="1" applyFont="1" applyFill="1" applyBorder="1" applyAlignment="1">
      <alignment horizontal="left" vertical="center"/>
    </xf>
    <xf numFmtId="14" fontId="0" fillId="0" borderId="1" xfId="0" applyNumberFormat="1" applyFont="1" applyBorder="1" applyAlignment="1">
      <alignment horizontal="right" vertical="center" wrapText="1"/>
    </xf>
    <xf numFmtId="164" fontId="2" fillId="0" borderId="1" xfId="1" applyFont="1" applyFill="1" applyBorder="1" applyAlignment="1">
      <alignment vertical="center"/>
    </xf>
    <xf numFmtId="0" fontId="0" fillId="0" borderId="0" xfId="0" applyFont="1" applyBorder="1" applyAlignment="1">
      <alignment vertical="center"/>
    </xf>
    <xf numFmtId="0" fontId="0" fillId="0" borderId="9" xfId="0" applyFont="1" applyBorder="1" applyAlignment="1">
      <alignment vertical="center"/>
    </xf>
    <xf numFmtId="0" fontId="0" fillId="0" borderId="11" xfId="0" applyFont="1" applyBorder="1" applyAlignment="1">
      <alignment vertical="center"/>
    </xf>
    <xf numFmtId="0" fontId="0" fillId="0" borderId="0" xfId="0" applyFont="1" applyFill="1" applyBorder="1" applyAlignment="1">
      <alignment vertical="center"/>
    </xf>
    <xf numFmtId="167" fontId="0" fillId="0" borderId="0" xfId="0" applyNumberFormat="1" applyFont="1" applyFill="1" applyBorder="1" applyAlignment="1">
      <alignment horizontal="right" vertical="center"/>
    </xf>
    <xf numFmtId="0" fontId="31" fillId="0" borderId="0" xfId="0" applyFont="1" applyAlignment="1">
      <alignment vertical="center"/>
    </xf>
    <xf numFmtId="0" fontId="31" fillId="0" borderId="0" xfId="0" applyFont="1" applyFill="1" applyBorder="1" applyAlignment="1">
      <alignment vertical="center"/>
    </xf>
    <xf numFmtId="167" fontId="31" fillId="0" borderId="0" xfId="0" applyNumberFormat="1" applyFont="1" applyFill="1" applyBorder="1" applyAlignment="1">
      <alignment horizontal="right" vertical="center"/>
    </xf>
    <xf numFmtId="164" fontId="31" fillId="0" borderId="0" xfId="1" applyFont="1" applyFill="1" applyBorder="1" applyAlignment="1">
      <alignment vertical="center"/>
    </xf>
    <xf numFmtId="0" fontId="31" fillId="0" borderId="9" xfId="0" applyFont="1" applyBorder="1" applyAlignment="1">
      <alignment vertical="center"/>
    </xf>
    <xf numFmtId="164" fontId="1" fillId="0" borderId="1" xfId="1" applyFont="1" applyFill="1" applyBorder="1" applyAlignment="1">
      <alignment vertical="center"/>
    </xf>
    <xf numFmtId="164" fontId="0" fillId="0" borderId="1" xfId="4" applyFont="1" applyFill="1" applyBorder="1" applyAlignment="1">
      <alignment horizontal="right" vertical="center" wrapText="1"/>
    </xf>
    <xf numFmtId="14" fontId="0" fillId="0" borderId="1" xfId="0" applyNumberFormat="1" applyFont="1" applyFill="1" applyBorder="1" applyAlignment="1">
      <alignment horizontal="center" vertical="center" wrapText="1"/>
    </xf>
    <xf numFmtId="0" fontId="2" fillId="0" borderId="1" xfId="0" applyFont="1" applyFill="1" applyBorder="1" applyAlignment="1">
      <alignment horizontal="right" vertical="center" wrapText="1"/>
    </xf>
    <xf numFmtId="14" fontId="2" fillId="0" borderId="1"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0" fontId="0" fillId="0" borderId="4" xfId="0" applyFont="1" applyFill="1" applyBorder="1" applyAlignment="1">
      <alignment horizontal="center" vertical="center"/>
    </xf>
    <xf numFmtId="14" fontId="0" fillId="0" borderId="4" xfId="0" applyNumberFormat="1" applyFont="1" applyFill="1" applyBorder="1" applyAlignment="1">
      <alignment horizontal="center" vertical="center" wrapText="1"/>
    </xf>
    <xf numFmtId="0" fontId="0" fillId="0" borderId="4" xfId="0" applyFont="1" applyFill="1" applyBorder="1" applyAlignment="1">
      <alignment horizontal="left" vertical="center" wrapText="1"/>
    </xf>
    <xf numFmtId="14" fontId="0" fillId="0" borderId="0" xfId="0" applyNumberFormat="1" applyFont="1" applyAlignment="1">
      <alignment vertical="center"/>
    </xf>
    <xf numFmtId="43" fontId="0" fillId="0" borderId="1" xfId="0" applyNumberFormat="1" applyFont="1" applyFill="1" applyBorder="1" applyAlignment="1">
      <alignment vertical="center" wrapText="1"/>
    </xf>
    <xf numFmtId="43" fontId="0" fillId="0" borderId="0" xfId="0" applyNumberFormat="1" applyFont="1" applyFill="1" applyBorder="1" applyAlignment="1">
      <alignment vertical="center" wrapText="1"/>
    </xf>
    <xf numFmtId="43" fontId="0" fillId="0" borderId="0" xfId="0" applyNumberFormat="1" applyFont="1" applyBorder="1" applyAlignment="1">
      <alignment vertical="center"/>
    </xf>
    <xf numFmtId="0" fontId="11" fillId="0" borderId="0" xfId="0" applyFont="1" applyAlignment="1">
      <alignment horizontal="center" vertical="center"/>
    </xf>
    <xf numFmtId="0" fontId="0" fillId="0" borderId="0" xfId="0" applyFont="1" applyAlignment="1">
      <alignment horizontal="center" vertical="center"/>
    </xf>
    <xf numFmtId="0" fontId="2" fillId="0" borderId="0" xfId="0" applyFont="1" applyBorder="1" applyAlignment="1">
      <alignment horizontal="center" vertical="center" wrapText="1"/>
    </xf>
    <xf numFmtId="49" fontId="2" fillId="0" borderId="0" xfId="0" applyNumberFormat="1" applyFont="1" applyBorder="1" applyAlignment="1">
      <alignment horizontal="center" vertical="center" wrapText="1"/>
    </xf>
    <xf numFmtId="0" fontId="0" fillId="2" borderId="0" xfId="0" applyFont="1" applyFill="1" applyBorder="1" applyAlignment="1">
      <alignment vertical="center" wrapText="1"/>
    </xf>
    <xf numFmtId="0" fontId="0" fillId="2" borderId="0" xfId="0" applyFont="1" applyFill="1" applyBorder="1" applyAlignment="1">
      <alignment vertical="center"/>
    </xf>
    <xf numFmtId="0" fontId="2" fillId="2" borderId="0" xfId="0" applyFont="1" applyFill="1" applyBorder="1" applyAlignment="1">
      <alignment vertical="center" wrapText="1"/>
    </xf>
    <xf numFmtId="0" fontId="32" fillId="0" borderId="0" xfId="0" applyFont="1" applyBorder="1" applyAlignment="1">
      <alignment vertical="center" wrapText="1"/>
    </xf>
    <xf numFmtId="0" fontId="31" fillId="0" borderId="0" xfId="0" applyFont="1" applyBorder="1" applyAlignment="1">
      <alignment vertical="center"/>
    </xf>
    <xf numFmtId="164" fontId="0" fillId="0" borderId="1" xfId="1" applyFont="1" applyFill="1" applyBorder="1" applyAlignment="1">
      <alignment vertical="center" wrapText="1"/>
    </xf>
    <xf numFmtId="14" fontId="0" fillId="0" borderId="1" xfId="0" applyNumberFormat="1" applyFont="1" applyFill="1" applyBorder="1" applyAlignment="1">
      <alignment vertical="center" wrapText="1"/>
    </xf>
    <xf numFmtId="43" fontId="2" fillId="0" borderId="1" xfId="0" applyNumberFormat="1" applyFont="1" applyFill="1" applyBorder="1" applyAlignment="1">
      <alignment vertical="center" wrapText="1"/>
    </xf>
    <xf numFmtId="14" fontId="0" fillId="0" borderId="0" xfId="0" applyNumberFormat="1" applyFont="1" applyFill="1" applyAlignment="1">
      <alignment vertical="center"/>
    </xf>
    <xf numFmtId="0" fontId="32" fillId="0" borderId="16" xfId="0" applyFont="1" applyFill="1" applyBorder="1" applyAlignment="1">
      <alignment vertical="center" wrapText="1"/>
    </xf>
    <xf numFmtId="0" fontId="32" fillId="0" borderId="17" xfId="0" applyFont="1" applyFill="1" applyBorder="1" applyAlignment="1">
      <alignment vertical="center" wrapText="1"/>
    </xf>
    <xf numFmtId="167" fontId="32" fillId="0" borderId="18" xfId="0" applyNumberFormat="1" applyFont="1" applyFill="1" applyBorder="1" applyAlignment="1">
      <alignment horizontal="right" vertical="center" wrapText="1"/>
    </xf>
    <xf numFmtId="0" fontId="2" fillId="0" borderId="11" xfId="0" applyFont="1" applyFill="1" applyBorder="1" applyAlignment="1">
      <alignment vertical="center" wrapText="1"/>
    </xf>
    <xf numFmtId="167" fontId="0" fillId="0" borderId="9" xfId="0" applyNumberFormat="1" applyFont="1" applyFill="1" applyBorder="1" applyAlignment="1">
      <alignment horizontal="right" vertical="center" wrapText="1"/>
    </xf>
    <xf numFmtId="0" fontId="0" fillId="0" borderId="11" xfId="0" applyFont="1" applyFill="1" applyBorder="1" applyAlignment="1">
      <alignment vertical="center" wrapText="1"/>
    </xf>
    <xf numFmtId="0" fontId="33" fillId="0" borderId="11" xfId="0" applyFont="1" applyFill="1" applyBorder="1" applyAlignment="1">
      <alignment vertical="center" wrapText="1"/>
    </xf>
    <xf numFmtId="0" fontId="0" fillId="0" borderId="11" xfId="0" applyFont="1" applyFill="1" applyBorder="1" applyAlignment="1">
      <alignment horizontal="left" vertical="center" wrapText="1"/>
    </xf>
    <xf numFmtId="0" fontId="0" fillId="0" borderId="12" xfId="0" applyFont="1" applyFill="1" applyBorder="1" applyAlignment="1">
      <alignment horizontal="left" vertical="center" wrapText="1"/>
    </xf>
    <xf numFmtId="0" fontId="0" fillId="0" borderId="14" xfId="0" applyFont="1" applyFill="1" applyBorder="1" applyAlignment="1">
      <alignment horizontal="left" vertical="center"/>
    </xf>
    <xf numFmtId="0" fontId="0" fillId="0" borderId="14" xfId="0" applyFont="1" applyFill="1" applyBorder="1" applyAlignment="1">
      <alignment horizontal="left" vertical="center" wrapText="1"/>
    </xf>
    <xf numFmtId="167" fontId="0" fillId="0" borderId="13" xfId="0" applyNumberFormat="1" applyFont="1" applyFill="1" applyBorder="1" applyAlignment="1">
      <alignment horizontal="right" vertical="center" wrapText="1"/>
    </xf>
    <xf numFmtId="0" fontId="34" fillId="0" borderId="0" xfId="3" applyFont="1" applyBorder="1" applyAlignment="1">
      <alignment horizontal="left" vertical="center" wrapText="1"/>
    </xf>
    <xf numFmtId="0" fontId="2" fillId="0" borderId="1" xfId="0" applyFont="1" applyFill="1" applyBorder="1" applyAlignment="1">
      <alignment horizontal="center" vertical="center" wrapText="1"/>
    </xf>
    <xf numFmtId="0" fontId="11" fillId="0" borderId="0" xfId="0" applyFont="1" applyAlignment="1">
      <alignment horizontal="center" vertical="center"/>
    </xf>
    <xf numFmtId="0" fontId="0" fillId="0" borderId="0" xfId="0" applyFont="1" applyAlignment="1">
      <alignment horizontal="center" vertical="center"/>
    </xf>
    <xf numFmtId="164" fontId="32" fillId="0" borderId="17" xfId="1" applyFont="1" applyFill="1" applyBorder="1" applyAlignment="1">
      <alignment vertical="center" wrapText="1"/>
    </xf>
    <xf numFmtId="0" fontId="32" fillId="0" borderId="18" xfId="0" applyFont="1" applyBorder="1" applyAlignment="1">
      <alignment vertical="center" wrapText="1"/>
    </xf>
    <xf numFmtId="0" fontId="0" fillId="0" borderId="14" xfId="0" applyFont="1" applyFill="1" applyBorder="1" applyAlignment="1">
      <alignment vertical="center" wrapText="1"/>
    </xf>
    <xf numFmtId="0" fontId="0" fillId="0" borderId="13" xfId="0" applyFont="1" applyBorder="1" applyAlignment="1">
      <alignment vertical="center" wrapText="1"/>
    </xf>
    <xf numFmtId="0" fontId="35" fillId="0" borderId="1" xfId="0" applyFont="1" applyFill="1" applyBorder="1" applyAlignment="1">
      <alignment horizontal="center" vertical="center" wrapText="1"/>
    </xf>
    <xf numFmtId="0" fontId="16" fillId="0" borderId="14" xfId="0" applyFont="1" applyBorder="1"/>
    <xf numFmtId="0" fontId="36" fillId="0" borderId="14" xfId="0" applyFont="1" applyBorder="1"/>
    <xf numFmtId="0" fontId="36" fillId="0" borderId="0" xfId="0" applyFont="1"/>
    <xf numFmtId="0" fontId="36" fillId="0" borderId="0" xfId="0" applyFont="1" applyBorder="1"/>
    <xf numFmtId="0" fontId="36" fillId="0" borderId="0" xfId="0" applyFont="1" applyAlignment="1">
      <alignment horizontal="center"/>
    </xf>
    <xf numFmtId="0" fontId="36" fillId="0" borderId="0" xfId="0" applyFont="1" applyAlignment="1">
      <alignment horizontal="left"/>
    </xf>
    <xf numFmtId="0" fontId="36" fillId="0" borderId="1" xfId="0" applyFont="1" applyFill="1" applyBorder="1" applyAlignment="1">
      <alignment horizontal="left" vertical="center" shrinkToFit="1"/>
    </xf>
    <xf numFmtId="164" fontId="36" fillId="0" borderId="1" xfId="1" applyFont="1" applyFill="1" applyBorder="1" applyAlignment="1">
      <alignment horizontal="center" vertical="center" shrinkToFit="1"/>
    </xf>
    <xf numFmtId="0" fontId="36" fillId="0" borderId="0" xfId="0" applyFont="1" applyAlignment="1"/>
    <xf numFmtId="0" fontId="36" fillId="2" borderId="0" xfId="0" applyFont="1" applyFill="1" applyAlignment="1"/>
    <xf numFmtId="0" fontId="36" fillId="2" borderId="0" xfId="0" applyFont="1" applyFill="1"/>
    <xf numFmtId="164" fontId="36" fillId="0" borderId="0" xfId="1" applyFont="1"/>
    <xf numFmtId="164" fontId="36" fillId="0" borderId="0" xfId="1" applyFont="1" applyAlignment="1"/>
    <xf numFmtId="164" fontId="36" fillId="0" borderId="0" xfId="1" applyFont="1" applyAlignment="1">
      <alignment horizontal="left"/>
    </xf>
    <xf numFmtId="0" fontId="36" fillId="0" borderId="0" xfId="0" quotePrefix="1" applyFont="1" applyAlignment="1">
      <alignment horizontal="left"/>
    </xf>
    <xf numFmtId="0" fontId="37" fillId="0" borderId="0" xfId="0" applyFont="1"/>
    <xf numFmtId="0" fontId="37" fillId="0" borderId="1" xfId="0" applyFont="1" applyFill="1" applyBorder="1" applyAlignment="1">
      <alignment horizontal="center" vertical="center" wrapText="1"/>
    </xf>
    <xf numFmtId="0" fontId="37" fillId="2" borderId="0" xfId="0" applyFont="1" applyFill="1"/>
    <xf numFmtId="0" fontId="37" fillId="0" borderId="0" xfId="0" applyFont="1" applyFill="1" applyBorder="1" applyAlignment="1">
      <alignment horizontal="center" vertical="center" wrapText="1"/>
    </xf>
    <xf numFmtId="0" fontId="37" fillId="2" borderId="1" xfId="0" applyFont="1" applyFill="1" applyBorder="1" applyAlignment="1">
      <alignment horizontal="left" vertical="center"/>
    </xf>
    <xf numFmtId="0" fontId="36" fillId="0" borderId="1"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0" borderId="1" xfId="0" applyFont="1" applyFill="1" applyBorder="1" applyAlignment="1">
      <alignment horizontal="left" vertical="center" wrapText="1"/>
    </xf>
    <xf numFmtId="164" fontId="36" fillId="0" borderId="1" xfId="1" applyFont="1" applyFill="1" applyBorder="1" applyAlignment="1">
      <alignment horizontal="center" vertical="center" wrapText="1"/>
    </xf>
    <xf numFmtId="0" fontId="36" fillId="0" borderId="1" xfId="0" applyFont="1" applyFill="1" applyBorder="1" applyAlignment="1">
      <alignment vertical="center" wrapText="1"/>
    </xf>
    <xf numFmtId="14" fontId="36" fillId="0" borderId="1" xfId="0" applyNumberFormat="1" applyFont="1" applyFill="1" applyBorder="1" applyAlignment="1">
      <alignment horizontal="center" vertical="center" shrinkToFit="1"/>
    </xf>
    <xf numFmtId="0" fontId="36" fillId="2" borderId="1" xfId="0" applyFont="1" applyFill="1" applyBorder="1" applyAlignment="1">
      <alignment horizontal="left" vertical="center" shrinkToFit="1"/>
    </xf>
    <xf numFmtId="167" fontId="36" fillId="0" borderId="1" xfId="0" applyNumberFormat="1" applyFont="1" applyFill="1" applyBorder="1" applyAlignment="1">
      <alignment horizontal="right" vertical="center" shrinkToFit="1"/>
    </xf>
    <xf numFmtId="0" fontId="36" fillId="0" borderId="1" xfId="0" applyFont="1" applyFill="1" applyBorder="1" applyAlignment="1">
      <alignment horizontal="center" vertical="center" shrinkToFit="1"/>
    </xf>
    <xf numFmtId="166" fontId="36" fillId="0" borderId="1" xfId="1" applyNumberFormat="1" applyFont="1" applyFill="1" applyBorder="1" applyAlignment="1">
      <alignment horizontal="center" vertical="center" shrinkToFit="1"/>
    </xf>
    <xf numFmtId="0" fontId="36" fillId="0" borderId="1" xfId="0" applyFont="1" applyFill="1" applyBorder="1" applyAlignment="1">
      <alignment vertical="center" shrinkToFit="1"/>
    </xf>
    <xf numFmtId="43" fontId="36" fillId="0" borderId="1" xfId="0" applyNumberFormat="1" applyFont="1" applyFill="1" applyBorder="1" applyAlignment="1">
      <alignment horizontal="left" vertical="center" shrinkToFit="1"/>
    </xf>
    <xf numFmtId="0" fontId="36" fillId="0" borderId="4" xfId="0" applyFont="1" applyFill="1" applyBorder="1" applyAlignment="1">
      <alignment horizontal="left" vertical="center" shrinkToFit="1"/>
    </xf>
    <xf numFmtId="0" fontId="39" fillId="0" borderId="2" xfId="2" applyFont="1" applyFill="1" applyBorder="1" applyAlignment="1" applyProtection="1">
      <alignment horizontal="center" vertical="center" shrinkToFit="1"/>
    </xf>
    <xf numFmtId="0" fontId="39" fillId="0" borderId="1" xfId="2" applyFont="1" applyFill="1" applyBorder="1" applyAlignment="1" applyProtection="1">
      <alignment horizontal="center" vertical="center"/>
    </xf>
    <xf numFmtId="0" fontId="36" fillId="0" borderId="1" xfId="0" applyFont="1" applyBorder="1"/>
    <xf numFmtId="0" fontId="37" fillId="0" borderId="1" xfId="0" applyFont="1" applyFill="1" applyBorder="1" applyAlignment="1">
      <alignment horizontal="left" vertical="center" shrinkToFit="1"/>
    </xf>
    <xf numFmtId="0" fontId="37" fillId="0" borderId="1" xfId="0" applyFont="1" applyFill="1" applyBorder="1" applyAlignment="1">
      <alignment horizontal="center" vertical="center" shrinkToFit="1"/>
    </xf>
    <xf numFmtId="164" fontId="37" fillId="0" borderId="1" xfId="1" applyFont="1" applyFill="1" applyBorder="1" applyAlignment="1">
      <alignment horizontal="center" vertical="center" shrinkToFit="1"/>
    </xf>
    <xf numFmtId="0" fontId="37" fillId="0" borderId="1" xfId="0" applyFont="1" applyFill="1" applyBorder="1" applyAlignment="1">
      <alignment horizontal="left" vertical="center"/>
    </xf>
    <xf numFmtId="14" fontId="37" fillId="0" borderId="0" xfId="0" applyNumberFormat="1" applyFont="1" applyFill="1" applyBorder="1" applyAlignment="1">
      <alignment horizontal="center" vertical="center" shrinkToFit="1"/>
    </xf>
    <xf numFmtId="0" fontId="37" fillId="0" borderId="1" xfId="0" applyFont="1" applyFill="1" applyBorder="1" applyAlignment="1">
      <alignment horizontal="left" vertical="center" wrapText="1"/>
    </xf>
    <xf numFmtId="0" fontId="37" fillId="2" borderId="1" xfId="0" applyFont="1" applyFill="1" applyBorder="1" applyAlignment="1">
      <alignment horizontal="left" vertical="center" shrinkToFit="1"/>
    </xf>
    <xf numFmtId="0" fontId="37" fillId="0" borderId="1" xfId="0" applyFont="1" applyFill="1" applyBorder="1" applyAlignment="1">
      <alignment vertical="center" shrinkToFit="1"/>
    </xf>
    <xf numFmtId="0" fontId="40" fillId="0" borderId="3" xfId="2" applyFont="1" applyFill="1" applyBorder="1" applyAlignment="1" applyProtection="1">
      <alignment horizontal="center" vertical="center"/>
    </xf>
    <xf numFmtId="0" fontId="41" fillId="0" borderId="1" xfId="0" applyFont="1" applyFill="1" applyBorder="1" applyAlignment="1">
      <alignment vertical="center" wrapText="1"/>
    </xf>
    <xf numFmtId="0" fontId="41" fillId="0" borderId="1" xfId="0" applyFont="1" applyFill="1" applyBorder="1" applyAlignment="1">
      <alignment vertical="center"/>
    </xf>
    <xf numFmtId="164" fontId="41" fillId="0" borderId="1" xfId="1" applyFont="1" applyFill="1" applyBorder="1" applyAlignment="1">
      <alignment vertical="center"/>
    </xf>
    <xf numFmtId="0" fontId="36" fillId="0" borderId="4" xfId="0" applyFont="1" applyFill="1" applyBorder="1" applyAlignment="1">
      <alignment horizontal="left" vertical="center" wrapText="1" shrinkToFit="1"/>
    </xf>
    <xf numFmtId="164" fontId="41" fillId="2" borderId="1" xfId="1" applyFont="1" applyFill="1" applyBorder="1" applyAlignment="1">
      <alignment vertical="center"/>
    </xf>
    <xf numFmtId="0" fontId="37" fillId="0" borderId="1" xfId="0" applyFont="1" applyBorder="1"/>
    <xf numFmtId="0" fontId="36" fillId="0" borderId="3" xfId="0" applyFont="1" applyFill="1" applyBorder="1" applyAlignment="1">
      <alignment horizontal="center" vertical="center"/>
    </xf>
    <xf numFmtId="14" fontId="36" fillId="0" borderId="1" xfId="0" quotePrefix="1" applyNumberFormat="1" applyFont="1" applyFill="1" applyBorder="1" applyAlignment="1">
      <alignment horizontal="center" vertical="center" shrinkToFit="1"/>
    </xf>
    <xf numFmtId="166" fontId="36" fillId="0" borderId="1" xfId="1" applyNumberFormat="1" applyFont="1" applyFill="1" applyBorder="1" applyAlignment="1">
      <alignment vertical="center" shrinkToFit="1"/>
    </xf>
    <xf numFmtId="0" fontId="39" fillId="0" borderId="1" xfId="2" applyFont="1" applyFill="1" applyBorder="1" applyAlignment="1" applyProtection="1">
      <alignment horizontal="center" vertical="center" shrinkToFit="1"/>
    </xf>
    <xf numFmtId="0" fontId="36" fillId="0" borderId="0" xfId="0" applyFont="1" applyAlignment="1">
      <alignment vertical="center"/>
    </xf>
    <xf numFmtId="0" fontId="41" fillId="0" borderId="0" xfId="0" applyFont="1" applyAlignment="1">
      <alignment horizontal="left" vertical="center"/>
    </xf>
    <xf numFmtId="0" fontId="36" fillId="0" borderId="1" xfId="0" applyFont="1" applyFill="1" applyBorder="1" applyAlignment="1">
      <alignment horizontal="left" vertical="center" wrapText="1" shrinkToFit="1"/>
    </xf>
    <xf numFmtId="14" fontId="36" fillId="0" borderId="1" xfId="0" applyNumberFormat="1" applyFont="1" applyFill="1" applyBorder="1" applyAlignment="1">
      <alignment horizontal="right" vertical="center" shrinkToFit="1"/>
    </xf>
    <xf numFmtId="0" fontId="36" fillId="0" borderId="1" xfId="0" quotePrefix="1" applyFont="1" applyFill="1" applyBorder="1" applyAlignment="1">
      <alignment vertical="center" shrinkToFit="1"/>
    </xf>
    <xf numFmtId="0" fontId="36" fillId="2" borderId="0" xfId="0" applyFont="1" applyFill="1" applyAlignment="1">
      <alignment vertical="center"/>
    </xf>
    <xf numFmtId="164" fontId="42" fillId="0" borderId="1" xfId="1" applyFont="1" applyFill="1" applyBorder="1" applyAlignment="1">
      <alignment vertical="center"/>
    </xf>
    <xf numFmtId="164" fontId="43" fillId="0" borderId="1" xfId="0" applyNumberFormat="1" applyFont="1" applyFill="1" applyBorder="1" applyAlignment="1">
      <alignment vertical="center" shrinkToFit="1"/>
    </xf>
    <xf numFmtId="164" fontId="43" fillId="0" borderId="1" xfId="0" applyNumberFormat="1" applyFont="1" applyFill="1" applyBorder="1" applyAlignment="1">
      <alignment horizontal="left" vertical="center" shrinkToFit="1"/>
    </xf>
    <xf numFmtId="0" fontId="36" fillId="0" borderId="1" xfId="0" applyFont="1" applyFill="1" applyBorder="1" applyAlignment="1">
      <alignment horizontal="center" vertical="center"/>
    </xf>
    <xf numFmtId="14" fontId="37" fillId="0" borderId="1" xfId="0" applyNumberFormat="1" applyFont="1" applyFill="1" applyBorder="1" applyAlignment="1">
      <alignment horizontal="center" vertical="center" shrinkToFit="1"/>
    </xf>
    <xf numFmtId="0" fontId="40" fillId="0" borderId="1" xfId="2" applyFont="1" applyFill="1" applyBorder="1" applyAlignment="1" applyProtection="1">
      <alignment horizontal="center" vertical="center"/>
    </xf>
    <xf numFmtId="0" fontId="41" fillId="0" borderId="0" xfId="0" applyFont="1" applyAlignment="1">
      <alignment wrapText="1"/>
    </xf>
    <xf numFmtId="14" fontId="41" fillId="0" borderId="0" xfId="0" quotePrefix="1" applyNumberFormat="1" applyFont="1" applyAlignment="1">
      <alignment horizontal="right"/>
    </xf>
    <xf numFmtId="43" fontId="44" fillId="0" borderId="1" xfId="0" applyNumberFormat="1" applyFont="1" applyFill="1" applyBorder="1" applyAlignment="1">
      <alignment vertical="center" shrinkToFit="1"/>
    </xf>
    <xf numFmtId="43" fontId="44" fillId="0" borderId="1" xfId="0" applyNumberFormat="1" applyFont="1" applyFill="1" applyBorder="1" applyAlignment="1">
      <alignment horizontal="left" vertical="center" shrinkToFit="1"/>
    </xf>
    <xf numFmtId="14" fontId="36" fillId="0" borderId="4" xfId="0" quotePrefix="1" applyNumberFormat="1" applyFont="1" applyFill="1" applyBorder="1" applyAlignment="1">
      <alignment horizontal="center" vertical="center" shrinkToFit="1"/>
    </xf>
    <xf numFmtId="0" fontId="36" fillId="0" borderId="4" xfId="0" applyFont="1" applyFill="1" applyBorder="1" applyAlignment="1">
      <alignment horizontal="left" vertical="center" wrapText="1"/>
    </xf>
    <xf numFmtId="0" fontId="36" fillId="2" borderId="4" xfId="0" applyFont="1" applyFill="1" applyBorder="1" applyAlignment="1">
      <alignment horizontal="left" vertical="center" shrinkToFit="1"/>
    </xf>
    <xf numFmtId="164" fontId="36" fillId="0" borderId="4" xfId="1" applyFont="1" applyFill="1" applyBorder="1" applyAlignment="1">
      <alignment horizontal="center" vertical="center" shrinkToFit="1"/>
    </xf>
    <xf numFmtId="0" fontId="36" fillId="0" borderId="4" xfId="0" applyFont="1" applyFill="1" applyBorder="1" applyAlignment="1">
      <alignment vertical="center" shrinkToFit="1"/>
    </xf>
    <xf numFmtId="0" fontId="39" fillId="0" borderId="0" xfId="2" applyFont="1" applyFill="1" applyBorder="1" applyAlignment="1" applyProtection="1">
      <alignment horizontal="center" vertical="center"/>
    </xf>
    <xf numFmtId="0" fontId="36" fillId="0" borderId="5" xfId="0" applyFont="1" applyBorder="1"/>
    <xf numFmtId="14" fontId="36" fillId="0" borderId="1" xfId="0" applyNumberFormat="1" applyFont="1" applyBorder="1" applyAlignment="1">
      <alignment horizontal="center" shrinkToFit="1"/>
    </xf>
    <xf numFmtId="0" fontId="36" fillId="0" borderId="1" xfId="0" applyFont="1" applyBorder="1" applyAlignment="1">
      <alignment wrapText="1"/>
    </xf>
    <xf numFmtId="0" fontId="36" fillId="2" borderId="1" xfId="0" applyFont="1" applyFill="1" applyBorder="1" applyAlignment="1">
      <alignment shrinkToFit="1"/>
    </xf>
    <xf numFmtId="164" fontId="37" fillId="0" borderId="1" xfId="1" applyFont="1" applyBorder="1" applyAlignment="1">
      <alignment shrinkToFit="1"/>
    </xf>
    <xf numFmtId="0" fontId="36" fillId="0" borderId="1" xfId="0" applyFont="1" applyBorder="1" applyAlignment="1">
      <alignment horizontal="left" shrinkToFit="1"/>
    </xf>
    <xf numFmtId="0" fontId="36" fillId="0" borderId="1" xfId="0" applyFont="1" applyFill="1" applyBorder="1" applyAlignment="1">
      <alignment shrinkToFit="1"/>
    </xf>
    <xf numFmtId="0" fontId="36" fillId="0" borderId="1" xfId="0" applyFont="1" applyFill="1" applyBorder="1" applyAlignment="1">
      <alignment horizontal="left" shrinkToFit="1"/>
    </xf>
    <xf numFmtId="0" fontId="37" fillId="0" borderId="0" xfId="0" applyFont="1" applyAlignment="1">
      <alignment horizontal="left"/>
    </xf>
    <xf numFmtId="164" fontId="36" fillId="0" borderId="14" xfId="1" applyFont="1" applyBorder="1"/>
    <xf numFmtId="0" fontId="36" fillId="0" borderId="14" xfId="0" applyFont="1" applyBorder="1" applyAlignment="1">
      <alignment horizontal="left"/>
    </xf>
    <xf numFmtId="164" fontId="36" fillId="2" borderId="0" xfId="1" applyFont="1" applyFill="1"/>
    <xf numFmtId="0" fontId="36" fillId="2" borderId="1" xfId="0" applyFont="1" applyFill="1" applyBorder="1"/>
    <xf numFmtId="0" fontId="40" fillId="0" borderId="0" xfId="2" applyFont="1" applyFill="1" applyBorder="1" applyAlignment="1" applyProtection="1">
      <alignment horizontal="center" vertical="center"/>
    </xf>
    <xf numFmtId="0" fontId="37" fillId="0" borderId="4" xfId="0" applyFont="1" applyFill="1" applyBorder="1" applyAlignment="1">
      <alignment horizontal="left" vertical="center" shrinkToFit="1"/>
    </xf>
    <xf numFmtId="167" fontId="36" fillId="0" borderId="4" xfId="0" applyNumberFormat="1" applyFont="1" applyFill="1" applyBorder="1" applyAlignment="1">
      <alignment horizontal="right" vertical="center" shrinkToFit="1"/>
    </xf>
    <xf numFmtId="0" fontId="36" fillId="0" borderId="4" xfId="0" applyFont="1" applyFill="1" applyBorder="1" applyAlignment="1">
      <alignment horizontal="center" vertical="center" shrinkToFit="1"/>
    </xf>
    <xf numFmtId="164" fontId="41" fillId="2" borderId="4" xfId="1" applyFont="1" applyFill="1" applyBorder="1" applyAlignment="1">
      <alignment vertical="center"/>
    </xf>
    <xf numFmtId="166" fontId="36" fillId="0" borderId="4" xfId="1" applyNumberFormat="1" applyFont="1" applyFill="1" applyBorder="1" applyAlignment="1">
      <alignment horizontal="center" vertical="center" shrinkToFit="1"/>
    </xf>
    <xf numFmtId="43" fontId="36" fillId="0" borderId="4" xfId="0" applyNumberFormat="1" applyFont="1" applyFill="1" applyBorder="1" applyAlignment="1">
      <alignment horizontal="left" vertical="center" shrinkToFit="1"/>
    </xf>
    <xf numFmtId="0" fontId="37" fillId="2" borderId="4" xfId="0" applyFont="1" applyFill="1" applyBorder="1" applyAlignment="1">
      <alignment horizontal="left" vertical="center"/>
    </xf>
    <xf numFmtId="0" fontId="36" fillId="0" borderId="0" xfId="0" applyFont="1" applyBorder="1" applyAlignment="1">
      <alignment horizontal="center"/>
    </xf>
    <xf numFmtId="0" fontId="41" fillId="0" borderId="1" xfId="0" applyFont="1" applyBorder="1" applyAlignment="1">
      <alignment wrapText="1"/>
    </xf>
    <xf numFmtId="0" fontId="37" fillId="2" borderId="1" xfId="0" applyFont="1" applyFill="1" applyBorder="1"/>
    <xf numFmtId="0" fontId="36" fillId="2" borderId="1" xfId="0" applyFont="1" applyFill="1" applyBorder="1" applyAlignment="1">
      <alignment vertical="center"/>
    </xf>
    <xf numFmtId="0" fontId="36" fillId="2" borderId="0" xfId="0" applyFont="1" applyFill="1" applyBorder="1" applyAlignment="1">
      <alignment horizontal="center"/>
    </xf>
    <xf numFmtId="0" fontId="36" fillId="0" borderId="0" xfId="0" applyFont="1" applyFill="1" applyBorder="1" applyAlignment="1">
      <alignment horizontal="center" vertical="center"/>
    </xf>
    <xf numFmtId="0" fontId="36" fillId="0" borderId="1" xfId="0" applyFont="1" applyBorder="1" applyAlignment="1">
      <alignment horizontal="left"/>
    </xf>
    <xf numFmtId="0" fontId="36" fillId="0" borderId="1" xfId="0" applyFont="1" applyBorder="1" applyAlignment="1">
      <alignment horizontal="center"/>
    </xf>
    <xf numFmtId="164" fontId="36" fillId="0" borderId="1" xfId="1" applyFont="1" applyBorder="1"/>
    <xf numFmtId="0" fontId="36" fillId="0" borderId="1" xfId="0" applyFont="1" applyBorder="1" applyAlignment="1"/>
    <xf numFmtId="0" fontId="36" fillId="2" borderId="0" xfId="0" applyFont="1" applyFill="1" applyBorder="1"/>
    <xf numFmtId="0" fontId="36" fillId="0" borderId="0" xfId="0" applyFont="1" applyBorder="1" applyAlignment="1">
      <alignment horizontal="left"/>
    </xf>
    <xf numFmtId="164" fontId="36" fillId="0" borderId="0" xfId="1" applyFont="1" applyBorder="1"/>
    <xf numFmtId="0" fontId="36" fillId="0" borderId="0" xfId="0" applyFont="1" applyBorder="1" applyAlignment="1"/>
    <xf numFmtId="0" fontId="24" fillId="0" borderId="1" xfId="0" applyFont="1" applyBorder="1" applyAlignment="1">
      <alignment wrapText="1"/>
    </xf>
    <xf numFmtId="0" fontId="16" fillId="0" borderId="3" xfId="0" applyFont="1" applyFill="1" applyBorder="1" applyAlignment="1">
      <alignment horizontal="left" vertical="center" wrapText="1"/>
    </xf>
    <xf numFmtId="0" fontId="46" fillId="0" borderId="3" xfId="0" applyFont="1" applyBorder="1" applyAlignment="1">
      <alignment horizontal="center" vertical="center" wrapText="1"/>
    </xf>
    <xf numFmtId="0" fontId="16" fillId="0" borderId="0" xfId="0" applyFont="1" applyFill="1" applyBorder="1" applyAlignment="1">
      <alignment horizontal="center" vertical="center" wrapText="1"/>
    </xf>
    <xf numFmtId="0" fontId="16" fillId="0" borderId="3" xfId="0" applyFont="1" applyFill="1" applyBorder="1" applyAlignment="1">
      <alignment horizontal="center" vertical="center" wrapText="1"/>
    </xf>
    <xf numFmtId="164" fontId="16" fillId="0" borderId="3" xfId="1" applyFont="1" applyFill="1" applyBorder="1" applyAlignment="1">
      <alignment horizontal="center" vertical="center" wrapText="1"/>
    </xf>
    <xf numFmtId="0" fontId="16" fillId="2" borderId="3" xfId="0" applyFont="1" applyFill="1" applyBorder="1" applyAlignment="1">
      <alignment horizontal="left" vertical="center" wrapText="1"/>
    </xf>
    <xf numFmtId="14" fontId="16" fillId="0" borderId="3" xfId="0" applyNumberFormat="1" applyFont="1" applyFill="1" applyBorder="1" applyAlignment="1">
      <alignment horizontal="center" vertical="center" wrapText="1"/>
    </xf>
    <xf numFmtId="166" fontId="16" fillId="0" borderId="3" xfId="1" applyNumberFormat="1" applyFont="1" applyFill="1" applyBorder="1" applyAlignment="1">
      <alignment horizontal="center" vertical="center" wrapText="1"/>
    </xf>
    <xf numFmtId="0" fontId="49" fillId="0" borderId="1" xfId="0" applyFont="1" applyBorder="1" applyAlignment="1">
      <alignment horizontal="center" vertical="center" wrapText="1"/>
    </xf>
    <xf numFmtId="0" fontId="0" fillId="0" borderId="0" xfId="0" applyAlignment="1">
      <alignment vertical="center"/>
    </xf>
    <xf numFmtId="0" fontId="48" fillId="0" borderId="0" xfId="0" applyFont="1" applyBorder="1" applyAlignment="1">
      <alignment vertical="center"/>
    </xf>
    <xf numFmtId="0" fontId="36" fillId="0" borderId="14" xfId="0" applyFont="1" applyBorder="1" applyAlignment="1">
      <alignment vertical="center"/>
    </xf>
    <xf numFmtId="0" fontId="50" fillId="0" borderId="1" xfId="0" applyFont="1" applyBorder="1" applyAlignment="1">
      <alignment horizontal="left" vertical="center" wrapText="1"/>
    </xf>
    <xf numFmtId="0" fontId="27" fillId="0" borderId="1" xfId="0" applyFont="1" applyBorder="1" applyAlignment="1">
      <alignment horizontal="center" vertical="center"/>
    </xf>
    <xf numFmtId="0" fontId="50" fillId="0" borderId="1" xfId="0" applyFont="1" applyBorder="1" applyAlignment="1">
      <alignment vertical="center" wrapText="1"/>
    </xf>
    <xf numFmtId="164" fontId="27" fillId="0" borderId="1" xfId="1" applyFont="1" applyBorder="1" applyAlignment="1">
      <alignment vertical="center"/>
    </xf>
    <xf numFmtId="164" fontId="27" fillId="0" borderId="1" xfId="0" applyNumberFormat="1" applyFont="1" applyBorder="1" applyAlignment="1">
      <alignment vertical="center"/>
    </xf>
    <xf numFmtId="14" fontId="27" fillId="0" borderId="1" xfId="0" quotePrefix="1" applyNumberFormat="1" applyFont="1" applyBorder="1" applyAlignment="1">
      <alignment vertical="center"/>
    </xf>
    <xf numFmtId="0" fontId="49" fillId="0" borderId="11" xfId="0" applyFont="1" applyBorder="1" applyAlignment="1">
      <alignment vertical="center"/>
    </xf>
    <xf numFmtId="0" fontId="49" fillId="0" borderId="0" xfId="0" applyFont="1" applyBorder="1" applyAlignment="1">
      <alignment vertical="center"/>
    </xf>
    <xf numFmtId="0" fontId="49" fillId="0" borderId="9" xfId="0" applyFont="1" applyBorder="1" applyAlignment="1">
      <alignment vertical="center"/>
    </xf>
    <xf numFmtId="0" fontId="49" fillId="0" borderId="2" xfId="0" applyFont="1" applyBorder="1" applyAlignment="1">
      <alignment vertical="center"/>
    </xf>
    <xf numFmtId="0" fontId="27" fillId="0" borderId="0" xfId="0" applyFont="1" applyBorder="1" applyAlignment="1">
      <alignment vertical="center"/>
    </xf>
    <xf numFmtId="0" fontId="27" fillId="0" borderId="9" xfId="0" applyFont="1" applyBorder="1" applyAlignment="1">
      <alignment vertical="center"/>
    </xf>
    <xf numFmtId="0" fontId="37" fillId="0" borderId="11" xfId="0" applyFont="1" applyBorder="1" applyAlignment="1">
      <alignment vertical="center"/>
    </xf>
    <xf numFmtId="0" fontId="37" fillId="0" borderId="0" xfId="0" applyFont="1" applyBorder="1" applyAlignment="1">
      <alignment vertical="center"/>
    </xf>
    <xf numFmtId="0" fontId="37" fillId="0" borderId="9" xfId="0" applyFont="1" applyBorder="1" applyAlignment="1">
      <alignment vertical="center"/>
    </xf>
    <xf numFmtId="0" fontId="37" fillId="0" borderId="2" xfId="0" applyFont="1" applyBorder="1" applyAlignment="1">
      <alignment vertical="center"/>
    </xf>
    <xf numFmtId="0" fontId="36" fillId="0" borderId="0" xfId="0" applyFont="1" applyBorder="1" applyAlignment="1">
      <alignment vertical="center"/>
    </xf>
    <xf numFmtId="0" fontId="36" fillId="0" borderId="9" xfId="0" applyFont="1" applyBorder="1" applyAlignment="1">
      <alignment vertical="center"/>
    </xf>
    <xf numFmtId="0" fontId="36" fillId="0" borderId="11" xfId="0" applyFont="1" applyBorder="1" applyAlignment="1">
      <alignment vertical="center"/>
    </xf>
    <xf numFmtId="0" fontId="36" fillId="0" borderId="2" xfId="0" applyFont="1" applyBorder="1" applyAlignment="1">
      <alignment vertical="center"/>
    </xf>
    <xf numFmtId="0" fontId="45" fillId="0" borderId="2" xfId="0" applyFont="1" applyBorder="1" applyAlignment="1">
      <alignment horizontal="center" vertical="center"/>
    </xf>
    <xf numFmtId="0" fontId="36" fillId="0" borderId="3" xfId="0" applyFont="1" applyBorder="1" applyAlignment="1">
      <alignment horizontal="center" vertical="center"/>
    </xf>
    <xf numFmtId="0" fontId="50" fillId="0" borderId="1" xfId="0" applyFont="1" applyBorder="1" applyAlignment="1">
      <alignment vertical="center"/>
    </xf>
    <xf numFmtId="0" fontId="27" fillId="0" borderId="1" xfId="0" applyFont="1" applyBorder="1" applyAlignment="1">
      <alignment vertical="center"/>
    </xf>
    <xf numFmtId="0" fontId="50" fillId="0" borderId="1" xfId="0" applyFont="1" applyBorder="1" applyAlignment="1">
      <alignment horizontal="left" vertical="center"/>
    </xf>
    <xf numFmtId="41" fontId="27" fillId="0" borderId="1" xfId="0" applyNumberFormat="1" applyFont="1" applyBorder="1" applyAlignment="1">
      <alignment horizontal="center" vertical="center"/>
    </xf>
    <xf numFmtId="0" fontId="50" fillId="0" borderId="1" xfId="0" applyFont="1" applyBorder="1" applyAlignment="1">
      <alignment horizontal="center" vertical="center" wrapText="1"/>
    </xf>
    <xf numFmtId="43" fontId="27" fillId="0" borderId="1" xfId="0" quotePrefix="1" applyNumberFormat="1" applyFont="1" applyBorder="1" applyAlignment="1">
      <alignment vertical="center"/>
    </xf>
    <xf numFmtId="14" fontId="27" fillId="0" borderId="1" xfId="0" quotePrefix="1" applyNumberFormat="1" applyFont="1" applyBorder="1" applyAlignment="1">
      <alignment horizontal="right" vertical="center"/>
    </xf>
    <xf numFmtId="14" fontId="16" fillId="0" borderId="4" xfId="0" applyNumberFormat="1" applyFont="1" applyFill="1" applyBorder="1" applyAlignment="1">
      <alignment horizontal="left" vertical="center" shrinkToFit="1"/>
    </xf>
    <xf numFmtId="0" fontId="16" fillId="0" borderId="0" xfId="0" applyFont="1" applyAlignment="1">
      <alignment horizontal="left" vertical="center"/>
    </xf>
    <xf numFmtId="0" fontId="16" fillId="0" borderId="0" xfId="0" applyFont="1" applyAlignment="1">
      <alignment horizontal="center" vertical="center"/>
    </xf>
    <xf numFmtId="164" fontId="16" fillId="0" borderId="0" xfId="1" applyFont="1" applyAlignment="1">
      <alignment vertical="center"/>
    </xf>
    <xf numFmtId="164" fontId="16" fillId="0" borderId="0" xfId="1" applyFont="1" applyAlignment="1">
      <alignment horizontal="left" vertical="center"/>
    </xf>
    <xf numFmtId="0" fontId="16" fillId="0" borderId="0" xfId="0" quotePrefix="1" applyFont="1" applyAlignment="1">
      <alignment horizontal="left" vertical="center"/>
    </xf>
    <xf numFmtId="0" fontId="17" fillId="0" borderId="0" xfId="0" applyFont="1" applyAlignment="1">
      <alignment vertical="center"/>
    </xf>
    <xf numFmtId="0" fontId="17" fillId="2" borderId="0" xfId="0" applyFont="1" applyFill="1" applyAlignment="1">
      <alignment vertical="center"/>
    </xf>
    <xf numFmtId="0" fontId="17" fillId="0" borderId="1" xfId="0" applyFont="1" applyBorder="1" applyAlignment="1">
      <alignment vertical="center"/>
    </xf>
    <xf numFmtId="0" fontId="16" fillId="0" borderId="5" xfId="0" applyFont="1" applyBorder="1" applyAlignment="1">
      <alignment vertical="center"/>
    </xf>
    <xf numFmtId="0" fontId="16" fillId="0" borderId="1" xfId="0" applyFont="1" applyBorder="1" applyAlignment="1">
      <alignment vertical="center" wrapText="1"/>
    </xf>
    <xf numFmtId="0" fontId="16" fillId="2" borderId="1" xfId="0" applyFont="1" applyFill="1" applyBorder="1" applyAlignment="1">
      <alignment vertical="center" shrinkToFit="1"/>
    </xf>
    <xf numFmtId="14" fontId="24" fillId="0" borderId="1" xfId="0" quotePrefix="1" applyNumberFormat="1" applyFont="1" applyBorder="1" applyAlignment="1">
      <alignment horizontal="right" vertical="center"/>
    </xf>
    <xf numFmtId="164" fontId="17" fillId="0" borderId="1" xfId="1" applyFont="1" applyBorder="1" applyAlignment="1">
      <alignment vertical="center" shrinkToFit="1"/>
    </xf>
    <xf numFmtId="0" fontId="16" fillId="0" borderId="1" xfId="0" applyFont="1" applyBorder="1" applyAlignment="1">
      <alignment horizontal="left" vertical="center" shrinkToFit="1"/>
    </xf>
    <xf numFmtId="0" fontId="17" fillId="0" borderId="0" xfId="0" applyFont="1" applyAlignment="1">
      <alignment horizontal="left" vertical="center"/>
    </xf>
    <xf numFmtId="164" fontId="36" fillId="0" borderId="0" xfId="1" applyFont="1" applyAlignment="1">
      <alignment vertical="center"/>
    </xf>
    <xf numFmtId="164" fontId="36" fillId="0" borderId="14" xfId="1" applyFont="1" applyBorder="1" applyAlignment="1">
      <alignment vertical="center"/>
    </xf>
    <xf numFmtId="0" fontId="16" fillId="0" borderId="14" xfId="0" applyFont="1" applyBorder="1" applyAlignment="1">
      <alignment vertical="center"/>
    </xf>
    <xf numFmtId="0" fontId="16" fillId="0" borderId="14" xfId="0" applyFont="1" applyBorder="1" applyAlignment="1">
      <alignment horizontal="left" vertical="center"/>
    </xf>
    <xf numFmtId="164" fontId="16" fillId="2" borderId="0" xfId="1" applyFont="1" applyFill="1" applyAlignment="1">
      <alignment vertical="center"/>
    </xf>
    <xf numFmtId="0" fontId="16" fillId="0" borderId="2" xfId="0" applyFont="1" applyFill="1" applyBorder="1" applyAlignment="1">
      <alignment horizontal="center" vertical="center" wrapText="1"/>
    </xf>
    <xf numFmtId="0" fontId="16" fillId="2" borderId="1" xfId="0" applyFont="1" applyFill="1" applyBorder="1" applyAlignment="1">
      <alignment vertical="center"/>
    </xf>
    <xf numFmtId="0" fontId="4" fillId="0" borderId="0" xfId="0" applyFont="1" applyAlignment="1">
      <alignment horizontal="left" vertical="top"/>
    </xf>
    <xf numFmtId="165" fontId="10" fillId="0" borderId="0" xfId="0" applyNumberFormat="1" applyFont="1" applyAlignment="1">
      <alignment horizontal="left"/>
    </xf>
    <xf numFmtId="0" fontId="10" fillId="0" borderId="0" xfId="0" applyFont="1" applyBorder="1" applyAlignment="1">
      <alignment horizontal="left"/>
    </xf>
    <xf numFmtId="0" fontId="10" fillId="0" borderId="0" xfId="0" applyFont="1" applyBorder="1" applyAlignment="1">
      <alignment horizontal="left" shrinkToFit="1"/>
    </xf>
    <xf numFmtId="0" fontId="16" fillId="0" borderId="0" xfId="0" applyFont="1" applyAlignment="1">
      <alignment horizontal="center" vertical="center"/>
    </xf>
    <xf numFmtId="0" fontId="16" fillId="0" borderId="0" xfId="0" applyFont="1" applyAlignment="1">
      <alignment horizontal="center"/>
    </xf>
    <xf numFmtId="0" fontId="17" fillId="0" borderId="4"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center"/>
    </xf>
    <xf numFmtId="0" fontId="22" fillId="0" borderId="4" xfId="0" applyFont="1" applyBorder="1" applyAlignment="1">
      <alignment horizontal="center" vertical="center" wrapText="1"/>
    </xf>
    <xf numFmtId="0" fontId="22" fillId="0" borderId="3" xfId="0" applyFont="1" applyBorder="1" applyAlignment="1">
      <alignment horizontal="center" vertical="center" wrapText="1"/>
    </xf>
    <xf numFmtId="0" fontId="17" fillId="2" borderId="4" xfId="0" applyFont="1" applyFill="1" applyBorder="1" applyAlignment="1">
      <alignment horizontal="center" vertical="center" wrapText="1"/>
    </xf>
    <xf numFmtId="0" fontId="17" fillId="2" borderId="3" xfId="0" applyFont="1" applyFill="1" applyBorder="1" applyAlignment="1">
      <alignment horizontal="center" vertical="center" wrapText="1"/>
    </xf>
    <xf numFmtId="164" fontId="17" fillId="0" borderId="4" xfId="1" applyFont="1" applyFill="1" applyBorder="1" applyAlignment="1">
      <alignment horizontal="center" vertical="center" wrapText="1"/>
    </xf>
    <xf numFmtId="164" fontId="17" fillId="0" borderId="3" xfId="1" applyFont="1" applyFill="1" applyBorder="1" applyAlignment="1">
      <alignment horizontal="center" vertical="center" wrapText="1"/>
    </xf>
    <xf numFmtId="164" fontId="25" fillId="0" borderId="4" xfId="1" applyFont="1" applyFill="1" applyBorder="1" applyAlignment="1">
      <alignment horizontal="center" vertical="center" wrapText="1"/>
    </xf>
    <xf numFmtId="164" fontId="25" fillId="0" borderId="3" xfId="1" applyFont="1" applyFill="1" applyBorder="1" applyAlignment="1">
      <alignment horizontal="center" vertical="center" wrapText="1"/>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45" fillId="0" borderId="11" xfId="0" applyFont="1" applyBorder="1" applyAlignment="1">
      <alignment horizontal="center" vertical="center"/>
    </xf>
    <xf numFmtId="0" fontId="45" fillId="0" borderId="0" xfId="0" applyFont="1" applyBorder="1" applyAlignment="1">
      <alignment horizontal="center" vertical="center"/>
    </xf>
    <xf numFmtId="0" fontId="45" fillId="0" borderId="9" xfId="0" applyFont="1" applyBorder="1" applyAlignment="1">
      <alignment horizontal="center" vertical="center"/>
    </xf>
    <xf numFmtId="0" fontId="36" fillId="0" borderId="12" xfId="0" applyFont="1" applyBorder="1" applyAlignment="1">
      <alignment horizontal="center" vertical="center"/>
    </xf>
    <xf numFmtId="0" fontId="36" fillId="0" borderId="14" xfId="0" applyFont="1" applyBorder="1" applyAlignment="1">
      <alignment horizontal="center" vertical="center"/>
    </xf>
    <xf numFmtId="0" fontId="36" fillId="0" borderId="13" xfId="0" applyFont="1" applyBorder="1" applyAlignment="1">
      <alignment horizontal="center" vertical="center"/>
    </xf>
    <xf numFmtId="0" fontId="36" fillId="0" borderId="0" xfId="0" applyFont="1" applyAlignment="1">
      <alignment horizontal="center" vertical="center"/>
    </xf>
    <xf numFmtId="0" fontId="47" fillId="0" borderId="0" xfId="0" applyFont="1" applyAlignment="1">
      <alignment horizontal="center" vertical="center"/>
    </xf>
    <xf numFmtId="168" fontId="48" fillId="0" borderId="0" xfId="0" applyNumberFormat="1" applyFont="1" applyBorder="1" applyAlignment="1">
      <alignment horizontal="left" vertical="center"/>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1" fillId="0" borderId="0" xfId="0" applyFont="1" applyAlignment="1">
      <alignment horizontal="center" vertical="center"/>
    </xf>
    <xf numFmtId="0" fontId="0" fillId="0" borderId="0" xfId="0" applyFont="1" applyAlignment="1">
      <alignment horizontal="center" vertical="center"/>
    </xf>
    <xf numFmtId="0" fontId="28" fillId="0" borderId="1" xfId="3" applyFont="1" applyFill="1" applyBorder="1" applyAlignment="1">
      <alignment horizontal="center" vertical="center" wrapText="1"/>
    </xf>
    <xf numFmtId="167" fontId="2" fillId="0" borderId="1" xfId="0" applyNumberFormat="1" applyFont="1" applyFill="1" applyBorder="1" applyAlignment="1">
      <alignment horizontal="center" vertical="center" wrapText="1"/>
    </xf>
    <xf numFmtId="0" fontId="34" fillId="0" borderId="11" xfId="3" applyFont="1" applyBorder="1" applyAlignment="1">
      <alignment horizontal="left" vertical="center" wrapText="1"/>
    </xf>
    <xf numFmtId="0" fontId="34" fillId="0" borderId="0" xfId="3" applyFont="1" applyBorder="1" applyAlignment="1">
      <alignment horizontal="left" vertical="center" wrapText="1"/>
    </xf>
    <xf numFmtId="0" fontId="34" fillId="0" borderId="9" xfId="3" applyFont="1" applyBorder="1" applyAlignment="1">
      <alignment horizontal="left" vertical="center" wrapText="1"/>
    </xf>
    <xf numFmtId="0" fontId="2" fillId="2" borderId="5" xfId="0" applyFont="1" applyFill="1" applyBorder="1" applyAlignment="1">
      <alignment vertical="center" wrapText="1"/>
    </xf>
    <xf numFmtId="0" fontId="2" fillId="2" borderId="14" xfId="0" applyFont="1" applyFill="1" applyBorder="1" applyAlignment="1">
      <alignment vertical="center" wrapText="1"/>
    </xf>
    <xf numFmtId="0" fontId="2" fillId="2" borderId="8" xfId="0" applyFont="1" applyFill="1" applyBorder="1" applyAlignment="1">
      <alignment vertical="center" wrapText="1"/>
    </xf>
    <xf numFmtId="0" fontId="2" fillId="2" borderId="6" xfId="0" applyFont="1" applyFill="1" applyBorder="1" applyAlignment="1">
      <alignment vertical="center" wrapText="1"/>
    </xf>
    <xf numFmtId="0" fontId="0" fillId="0" borderId="5" xfId="0" applyFont="1" applyBorder="1" applyAlignment="1">
      <alignment vertical="center" wrapText="1"/>
    </xf>
    <xf numFmtId="0" fontId="0" fillId="0" borderId="8" xfId="0" applyFont="1" applyBorder="1" applyAlignment="1">
      <alignment vertical="center" wrapText="1"/>
    </xf>
    <xf numFmtId="0" fontId="0" fillId="0" borderId="6" xfId="0" applyFont="1" applyBorder="1" applyAlignment="1">
      <alignment vertical="center" wrapText="1"/>
    </xf>
    <xf numFmtId="0" fontId="32" fillId="0" borderId="11" xfId="0" applyFont="1" applyBorder="1" applyAlignment="1">
      <alignment vertical="center"/>
    </xf>
    <xf numFmtId="0" fontId="32" fillId="0" borderId="15" xfId="0" applyFont="1" applyBorder="1" applyAlignment="1">
      <alignment vertical="center"/>
    </xf>
    <xf numFmtId="0" fontId="33" fillId="0" borderId="0" xfId="0" applyFont="1" applyFill="1" applyBorder="1" applyAlignment="1">
      <alignment horizontal="left" vertical="center" wrapText="1"/>
    </xf>
    <xf numFmtId="0" fontId="33" fillId="0" borderId="0" xfId="0" applyFont="1" applyFill="1" applyBorder="1" applyAlignment="1">
      <alignment horizontal="center" vertical="center" wrapText="1"/>
    </xf>
    <xf numFmtId="0" fontId="0" fillId="0" borderId="0" xfId="0" applyFont="1" applyFill="1" applyBorder="1" applyAlignment="1">
      <alignment horizontal="left" vertical="center" wrapText="1"/>
    </xf>
    <xf numFmtId="0" fontId="0" fillId="0" borderId="0"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38" fillId="0" borderId="0" xfId="0" applyFont="1" applyAlignment="1">
      <alignment horizontal="center"/>
    </xf>
    <xf numFmtId="0" fontId="36" fillId="0" borderId="0" xfId="0" applyFont="1" applyAlignment="1">
      <alignment horizontal="center"/>
    </xf>
    <xf numFmtId="164" fontId="37" fillId="0" borderId="4" xfId="1" applyFont="1" applyFill="1" applyBorder="1" applyAlignment="1">
      <alignment horizontal="center" vertical="center" wrapText="1"/>
    </xf>
    <xf numFmtId="164" fontId="37" fillId="0" borderId="3" xfId="1" applyFont="1" applyFill="1" applyBorder="1" applyAlignment="1">
      <alignment horizontal="center" vertical="center" wrapText="1"/>
    </xf>
    <xf numFmtId="0" fontId="37" fillId="0" borderId="5" xfId="0" applyFont="1" applyFill="1" applyBorder="1" applyAlignment="1">
      <alignment horizontal="center" vertical="center" wrapText="1"/>
    </xf>
    <xf numFmtId="0" fontId="37" fillId="0" borderId="6"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37" fillId="0" borderId="3" xfId="0" applyFont="1" applyFill="1" applyBorder="1" applyAlignment="1">
      <alignment horizontal="center" vertical="center" wrapText="1"/>
    </xf>
    <xf numFmtId="0" fontId="45" fillId="2" borderId="0" xfId="0" applyFont="1" applyFill="1" applyBorder="1" applyAlignment="1">
      <alignment horizontal="center" vertical="center"/>
    </xf>
    <xf numFmtId="0" fontId="37" fillId="0" borderId="4" xfId="0" applyFont="1" applyBorder="1" applyAlignment="1">
      <alignment horizontal="center" vertical="center" wrapText="1"/>
    </xf>
    <xf numFmtId="0" fontId="37" fillId="0" borderId="3" xfId="0" applyFont="1" applyBorder="1" applyAlignment="1">
      <alignment horizontal="center" vertical="center" wrapText="1"/>
    </xf>
    <xf numFmtId="0" fontId="37" fillId="2" borderId="4" xfId="0" applyFont="1" applyFill="1" applyBorder="1" applyAlignment="1">
      <alignment horizontal="center" vertical="center" wrapText="1"/>
    </xf>
    <xf numFmtId="0" fontId="37" fillId="2" borderId="3" xfId="0" applyFont="1" applyFill="1" applyBorder="1" applyAlignment="1">
      <alignment horizontal="center" vertical="center" wrapText="1"/>
    </xf>
    <xf numFmtId="0" fontId="37" fillId="2" borderId="0" xfId="0" applyFont="1" applyFill="1" applyBorder="1" applyAlignment="1">
      <alignment horizontal="center" vertical="center"/>
    </xf>
    <xf numFmtId="0" fontId="0" fillId="0" borderId="14" xfId="0" applyFont="1" applyFill="1" applyBorder="1" applyAlignment="1">
      <alignment horizontal="center" vertical="center" wrapText="1"/>
    </xf>
    <xf numFmtId="14" fontId="2" fillId="0" borderId="1" xfId="0" applyNumberFormat="1" applyFont="1" applyBorder="1" applyAlignment="1">
      <alignment horizontal="left" vertical="center" shrinkToFit="1"/>
    </xf>
    <xf numFmtId="0" fontId="32" fillId="0" borderId="16" xfId="0" applyFont="1" applyBorder="1" applyAlignment="1">
      <alignment vertical="center"/>
    </xf>
    <xf numFmtId="0" fontId="32" fillId="0" borderId="12" xfId="0" applyFont="1" applyBorder="1" applyAlignment="1">
      <alignment vertical="center"/>
    </xf>
    <xf numFmtId="166" fontId="16" fillId="0" borderId="1" xfId="1" applyNumberFormat="1" applyFont="1" applyFill="1" applyBorder="1" applyAlignment="1">
      <alignment horizontal="left" vertical="center" shrinkToFit="1"/>
    </xf>
    <xf numFmtId="0" fontId="16" fillId="2" borderId="3" xfId="0" applyFont="1" applyFill="1" applyBorder="1" applyAlignment="1">
      <alignment vertical="center"/>
    </xf>
    <xf numFmtId="14" fontId="16" fillId="0" borderId="3" xfId="0" applyNumberFormat="1" applyFont="1" applyFill="1" applyBorder="1" applyAlignment="1">
      <alignment horizontal="center" vertical="center" shrinkToFit="1"/>
    </xf>
    <xf numFmtId="0" fontId="16" fillId="2" borderId="3" xfId="0" applyFont="1" applyFill="1" applyBorder="1" applyAlignment="1">
      <alignment horizontal="left" vertical="center" shrinkToFit="1"/>
    </xf>
    <xf numFmtId="0" fontId="16" fillId="0" borderId="3" xfId="0" applyFont="1" applyFill="1" applyBorder="1" applyAlignment="1">
      <alignment horizontal="left" vertical="center" shrinkToFit="1"/>
    </xf>
    <xf numFmtId="14" fontId="24" fillId="0" borderId="3" xfId="0" quotePrefix="1" applyNumberFormat="1" applyFont="1" applyBorder="1" applyAlignment="1">
      <alignment horizontal="right" vertical="center"/>
    </xf>
    <xf numFmtId="0" fontId="16" fillId="0" borderId="3" xfId="0" applyFont="1" applyFill="1" applyBorder="1" applyAlignment="1">
      <alignment horizontal="center" vertical="center" shrinkToFit="1"/>
    </xf>
    <xf numFmtId="164" fontId="16" fillId="0" borderId="3" xfId="1" applyFont="1" applyFill="1" applyBorder="1" applyAlignment="1">
      <alignment horizontal="center" vertical="center" shrinkToFit="1"/>
    </xf>
    <xf numFmtId="166" fontId="16" fillId="0" borderId="3" xfId="1" applyNumberFormat="1" applyFont="1" applyFill="1" applyBorder="1" applyAlignment="1">
      <alignment vertical="center" shrinkToFit="1"/>
    </xf>
    <xf numFmtId="0" fontId="16" fillId="0" borderId="3" xfId="0" applyFont="1" applyFill="1" applyBorder="1" applyAlignment="1">
      <alignment vertical="center" shrinkToFit="1"/>
    </xf>
    <xf numFmtId="43" fontId="16" fillId="0" borderId="3" xfId="0" applyNumberFormat="1" applyFont="1" applyFill="1" applyBorder="1" applyAlignment="1">
      <alignment horizontal="left" vertical="center" shrinkToFit="1"/>
    </xf>
    <xf numFmtId="0" fontId="16" fillId="0" borderId="0" xfId="0" applyFont="1" applyBorder="1" applyAlignment="1">
      <alignment vertical="center"/>
    </xf>
    <xf numFmtId="14" fontId="16" fillId="0" borderId="2" xfId="0" quotePrefix="1" applyNumberFormat="1" applyFont="1" applyFill="1" applyBorder="1" applyAlignment="1">
      <alignment horizontal="center" vertical="center" shrinkToFit="1"/>
    </xf>
    <xf numFmtId="0" fontId="16" fillId="0" borderId="2" xfId="0" applyFont="1" applyFill="1" applyBorder="1" applyAlignment="1">
      <alignment horizontal="left" vertical="center" wrapText="1"/>
    </xf>
    <xf numFmtId="0" fontId="16" fillId="0" borderId="2" xfId="0" applyFont="1" applyFill="1" applyBorder="1" applyAlignment="1">
      <alignment horizontal="left" vertical="center" shrinkToFit="1"/>
    </xf>
    <xf numFmtId="14" fontId="16" fillId="0" borderId="2" xfId="0" applyNumberFormat="1" applyFont="1" applyFill="1" applyBorder="1" applyAlignment="1">
      <alignment horizontal="left" vertical="center" shrinkToFit="1"/>
    </xf>
    <xf numFmtId="164" fontId="16" fillId="0" borderId="2" xfId="1" applyFont="1" applyFill="1" applyBorder="1" applyAlignment="1">
      <alignment horizontal="center" vertical="center" shrinkToFit="1"/>
    </xf>
    <xf numFmtId="0" fontId="16" fillId="0" borderId="2" xfId="0" applyFont="1" applyFill="1" applyBorder="1" applyAlignment="1">
      <alignment vertical="center" shrinkToFit="1"/>
    </xf>
    <xf numFmtId="14" fontId="16" fillId="0" borderId="1" xfId="0" applyNumberFormat="1" applyFont="1" applyFill="1" applyBorder="1" applyAlignment="1">
      <alignment horizontal="left" vertical="center" shrinkToFit="1"/>
    </xf>
  </cellXfs>
  <cellStyles count="6">
    <cellStyle name="Comma" xfId="1" builtinId="3"/>
    <cellStyle name="Comma 2" xfId="4"/>
    <cellStyle name="Hyperlink" xfId="2" builtinId="8"/>
    <cellStyle name="Hyperlink 2" xfId="3"/>
    <cellStyle name="Normal" xfId="0" builtinId="0"/>
    <cellStyle name="Normal 2" xfId="5"/>
  </cellStyles>
  <dxfs count="63">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colors>
    <mruColors>
      <color rgb="FF4859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57149</xdr:colOff>
      <xdr:row>0</xdr:row>
      <xdr:rowOff>161925</xdr:rowOff>
    </xdr:from>
    <xdr:to>
      <xdr:col>0</xdr:col>
      <xdr:colOff>809624</xdr:colOff>
      <xdr:row>4</xdr:row>
      <xdr:rowOff>152401</xdr:rowOff>
    </xdr:to>
    <xdr:pic>
      <xdr:nvPicPr>
        <xdr:cNvPr id="2" name="Picture 1" descr="D:\ADMIN 2020\LOGO\DA LOGO.png"/>
        <xdr:cNvPicPr/>
      </xdr:nvPicPr>
      <xdr:blipFill>
        <a:blip xmlns:r="http://schemas.openxmlformats.org/officeDocument/2006/relationships" r:embed="rId1" cstate="print"/>
        <a:srcRect/>
        <a:stretch>
          <a:fillRect/>
        </a:stretch>
      </xdr:blipFill>
      <xdr:spPr bwMode="auto">
        <a:xfrm>
          <a:off x="57149" y="161925"/>
          <a:ext cx="752475" cy="771526"/>
        </a:xfrm>
        <a:prstGeom prst="rect">
          <a:avLst/>
        </a:prstGeom>
        <a:noFill/>
        <a:ln w="9525">
          <a:noFill/>
          <a:miter lim="800000"/>
          <a:headEnd/>
          <a:tailEnd/>
        </a:ln>
      </xdr:spPr>
    </xdr:pic>
    <xdr:clientData/>
  </xdr:twoCellAnchor>
  <xdr:twoCellAnchor editAs="oneCell">
    <xdr:from>
      <xdr:col>0</xdr:col>
      <xdr:colOff>533400</xdr:colOff>
      <xdr:row>2</xdr:row>
      <xdr:rowOff>152400</xdr:rowOff>
    </xdr:from>
    <xdr:to>
      <xdr:col>1</xdr:col>
      <xdr:colOff>342901</xdr:colOff>
      <xdr:row>6</xdr:row>
      <xdr:rowOff>66675</xdr:rowOff>
    </xdr:to>
    <xdr:pic>
      <xdr:nvPicPr>
        <xdr:cNvPr id="3" name="Picture 2" descr="New Logo1.png"/>
        <xdr:cNvPicPr/>
      </xdr:nvPicPr>
      <xdr:blipFill>
        <a:blip xmlns:r="http://schemas.openxmlformats.org/officeDocument/2006/relationships" r:embed="rId2" cstate="print"/>
        <a:stretch>
          <a:fillRect/>
        </a:stretch>
      </xdr:blipFill>
      <xdr:spPr>
        <a:xfrm>
          <a:off x="533400" y="533400"/>
          <a:ext cx="704851" cy="704850"/>
        </a:xfrm>
        <a:prstGeom prst="rect">
          <a:avLst/>
        </a:prstGeom>
      </xdr:spPr>
    </xdr:pic>
    <xdr:clientData/>
  </xdr:twoCellAnchor>
  <xdr:twoCellAnchor editAs="oneCell">
    <xdr:from>
      <xdr:col>0</xdr:col>
      <xdr:colOff>0</xdr:colOff>
      <xdr:row>46</xdr:row>
      <xdr:rowOff>9525</xdr:rowOff>
    </xdr:from>
    <xdr:to>
      <xdr:col>6</xdr:col>
      <xdr:colOff>866775</xdr:colOff>
      <xdr:row>51</xdr:row>
      <xdr:rowOff>38100</xdr:rowOff>
    </xdr:to>
    <xdr:pic>
      <xdr:nvPicPr>
        <xdr:cNvPr id="4" name="Picture 3"/>
        <xdr:cNvPicPr/>
      </xdr:nvPicPr>
      <xdr:blipFill>
        <a:blip xmlns:r="http://schemas.openxmlformats.org/officeDocument/2006/relationships" r:embed="rId3"/>
        <a:srcRect/>
        <a:stretch>
          <a:fillRect/>
        </a:stretch>
      </xdr:blipFill>
      <xdr:spPr bwMode="auto">
        <a:xfrm>
          <a:off x="0" y="9105900"/>
          <a:ext cx="6019800" cy="9810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0</xdr:row>
      <xdr:rowOff>119744</xdr:rowOff>
    </xdr:from>
    <xdr:to>
      <xdr:col>3</xdr:col>
      <xdr:colOff>686250</xdr:colOff>
      <xdr:row>5</xdr:row>
      <xdr:rowOff>140572</xdr:rowOff>
    </xdr:to>
    <xdr:pic>
      <xdr:nvPicPr>
        <xdr:cNvPr id="13" name="Picture 1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7775" y="119744"/>
          <a:ext cx="1048200" cy="973328"/>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9525</xdr:colOff>
      <xdr:row>0</xdr:row>
      <xdr:rowOff>119744</xdr:rowOff>
    </xdr:from>
    <xdr:to>
      <xdr:col>3</xdr:col>
      <xdr:colOff>686250</xdr:colOff>
      <xdr:row>5</xdr:row>
      <xdr:rowOff>140572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7775" y="119744"/>
          <a:ext cx="1048200" cy="973328"/>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9525</xdr:colOff>
      <xdr:row>0</xdr:row>
      <xdr:rowOff>119744</xdr:rowOff>
    </xdr:from>
    <xdr:to>
      <xdr:col>3</xdr:col>
      <xdr:colOff>686250</xdr:colOff>
      <xdr:row>5</xdr:row>
      <xdr:rowOff>140572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19744"/>
          <a:ext cx="1048200" cy="973328"/>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9525</xdr:colOff>
      <xdr:row>0</xdr:row>
      <xdr:rowOff>119744</xdr:rowOff>
    </xdr:from>
    <xdr:to>
      <xdr:col>3</xdr:col>
      <xdr:colOff>686250</xdr:colOff>
      <xdr:row>5</xdr:row>
      <xdr:rowOff>140572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19744"/>
          <a:ext cx="1048200" cy="973328"/>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9525</xdr:colOff>
      <xdr:row>0</xdr:row>
      <xdr:rowOff>119744</xdr:rowOff>
    </xdr:from>
    <xdr:to>
      <xdr:col>3</xdr:col>
      <xdr:colOff>686250</xdr:colOff>
      <xdr:row>5</xdr:row>
      <xdr:rowOff>140572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19744"/>
          <a:ext cx="1048200" cy="973328"/>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xdr:colOff>
      <xdr:row>0</xdr:row>
      <xdr:rowOff>119744</xdr:rowOff>
    </xdr:from>
    <xdr:to>
      <xdr:col>3</xdr:col>
      <xdr:colOff>686250</xdr:colOff>
      <xdr:row>5</xdr:row>
      <xdr:rowOff>140572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19744"/>
          <a:ext cx="1048200" cy="973328"/>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xdr:colOff>
      <xdr:row>0</xdr:row>
      <xdr:rowOff>119744</xdr:rowOff>
    </xdr:from>
    <xdr:to>
      <xdr:col>3</xdr:col>
      <xdr:colOff>686250</xdr:colOff>
      <xdr:row>5</xdr:row>
      <xdr:rowOff>140572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19744"/>
          <a:ext cx="1048200" cy="973328"/>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9525</xdr:colOff>
      <xdr:row>0</xdr:row>
      <xdr:rowOff>119744</xdr:rowOff>
    </xdr:from>
    <xdr:to>
      <xdr:col>3</xdr:col>
      <xdr:colOff>686250</xdr:colOff>
      <xdr:row>5</xdr:row>
      <xdr:rowOff>140572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19744"/>
          <a:ext cx="1048200" cy="973328"/>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9525</xdr:colOff>
      <xdr:row>0</xdr:row>
      <xdr:rowOff>119744</xdr:rowOff>
    </xdr:from>
    <xdr:to>
      <xdr:col>3</xdr:col>
      <xdr:colOff>686250</xdr:colOff>
      <xdr:row>5</xdr:row>
      <xdr:rowOff>140572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19744"/>
          <a:ext cx="1048200" cy="973328"/>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2667000</xdr:colOff>
      <xdr:row>0</xdr:row>
      <xdr:rowOff>19050</xdr:rowOff>
    </xdr:from>
    <xdr:to>
      <xdr:col>2</xdr:col>
      <xdr:colOff>542925</xdr:colOff>
      <xdr:row>5</xdr:row>
      <xdr:rowOff>57150</xdr:rowOff>
    </xdr:to>
    <xdr:pic>
      <xdr:nvPicPr>
        <xdr:cNvPr id="2" name="Picture 1" descr="Logo&#10;&#10;Description automatically generated"/>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14725" y="19050"/>
          <a:ext cx="1162050" cy="100965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2667000</xdr:colOff>
      <xdr:row>0</xdr:row>
      <xdr:rowOff>19050</xdr:rowOff>
    </xdr:from>
    <xdr:to>
      <xdr:col>2</xdr:col>
      <xdr:colOff>542925</xdr:colOff>
      <xdr:row>5</xdr:row>
      <xdr:rowOff>57150</xdr:rowOff>
    </xdr:to>
    <xdr:pic>
      <xdr:nvPicPr>
        <xdr:cNvPr id="2" name="Picture 1" descr="Logo&#10;&#10;Description automatically generated"/>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2825" y="19050"/>
          <a:ext cx="1162050" cy="100965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2667000</xdr:colOff>
      <xdr:row>0</xdr:row>
      <xdr:rowOff>19050</xdr:rowOff>
    </xdr:from>
    <xdr:to>
      <xdr:col>2</xdr:col>
      <xdr:colOff>542925</xdr:colOff>
      <xdr:row>5</xdr:row>
      <xdr:rowOff>57150</xdr:rowOff>
    </xdr:to>
    <xdr:pic>
      <xdr:nvPicPr>
        <xdr:cNvPr id="2" name="Picture 1" descr="Logo&#10;&#10;Description automatically generated"/>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14725" y="19050"/>
          <a:ext cx="1162050" cy="10096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nfa.gov.ph/"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file:///C:\Users\PMO\AppData\Roaming\Microsoft\Excel\101.jpg" TargetMode="External"/><Relationship Id="rId13" Type="http://schemas.openxmlformats.org/officeDocument/2006/relationships/hyperlink" Target="file:///C:\Users\PMO\AppData\Roaming\Microsoft\Excel\50.jpg" TargetMode="External"/><Relationship Id="rId3" Type="http://schemas.openxmlformats.org/officeDocument/2006/relationships/hyperlink" Target="file:///C:\Users\PMO\AppData\Roaming\Microsoft\Excel\74.jpg" TargetMode="External"/><Relationship Id="rId7" Type="http://schemas.openxmlformats.org/officeDocument/2006/relationships/hyperlink" Target="file:///C:\Users\PMO\AppData\Roaming\Microsoft\Excel\97.jpg" TargetMode="External"/><Relationship Id="rId12" Type="http://schemas.openxmlformats.org/officeDocument/2006/relationships/hyperlink" Target="file:///C:\Users\PMO\AppData\Roaming\Microsoft\Excel\1.jpg" TargetMode="External"/><Relationship Id="rId2" Type="http://schemas.openxmlformats.org/officeDocument/2006/relationships/hyperlink" Target="file:///C:\Users\PMO\AppData\Roaming\Microsoft\Excel\72.jpg" TargetMode="External"/><Relationship Id="rId16" Type="http://schemas.openxmlformats.org/officeDocument/2006/relationships/comments" Target="../comments1.xml"/><Relationship Id="rId1" Type="http://schemas.openxmlformats.org/officeDocument/2006/relationships/hyperlink" Target="file:///C:\Users\PMO\AppData\Roaming\Microsoft\Excel\71.jpg" TargetMode="External"/><Relationship Id="rId6" Type="http://schemas.openxmlformats.org/officeDocument/2006/relationships/hyperlink" Target="file:///C:\Users\PMO\AppData\Roaming\Microsoft\Excel\100.jpg" TargetMode="External"/><Relationship Id="rId11" Type="http://schemas.openxmlformats.org/officeDocument/2006/relationships/hyperlink" Target="file:///C:\Users\PMO\AppData\Roaming\Microsoft\Excel\64.jpg" TargetMode="External"/><Relationship Id="rId5" Type="http://schemas.openxmlformats.org/officeDocument/2006/relationships/hyperlink" Target="file:///C:\Users\PMO\AppData\Roaming\Microsoft\Excel\93.jpg" TargetMode="External"/><Relationship Id="rId15" Type="http://schemas.openxmlformats.org/officeDocument/2006/relationships/vmlDrawing" Target="../drawings/vmlDrawing1.vml"/><Relationship Id="rId10" Type="http://schemas.openxmlformats.org/officeDocument/2006/relationships/hyperlink" Target="file:///C:\Users\PMO\AppData\Roaming\Microsoft\Excel\63.jpg" TargetMode="External"/><Relationship Id="rId4" Type="http://schemas.openxmlformats.org/officeDocument/2006/relationships/hyperlink" Target="file:///C:\Users\PMO\AppData\Roaming\Microsoft\Excel\87.jpg" TargetMode="External"/><Relationship Id="rId9" Type="http://schemas.openxmlformats.org/officeDocument/2006/relationships/hyperlink" Target="file:///C:\Users\PMO\AppData\Roaming\Microsoft\Excel\104.jpg"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file:///C:\Users\PMO\AppData\Roaming\Microsoft\Excel\1.jpg"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8" Type="http://schemas.openxmlformats.org/officeDocument/2006/relationships/hyperlink" Target="file:///C:\Users\PMO\AppData\Roaming\Microsoft\Excel\101.jpg" TargetMode="External"/><Relationship Id="rId13" Type="http://schemas.openxmlformats.org/officeDocument/2006/relationships/hyperlink" Target="file:///C:\Users\PMO\AppData\Roaming\Microsoft\Excel\50.jpg" TargetMode="External"/><Relationship Id="rId3" Type="http://schemas.openxmlformats.org/officeDocument/2006/relationships/hyperlink" Target="file:///C:\Users\PMO\AppData\Roaming\Microsoft\Excel\74.jpg" TargetMode="External"/><Relationship Id="rId7" Type="http://schemas.openxmlformats.org/officeDocument/2006/relationships/hyperlink" Target="file:///C:\Users\PMO\AppData\Roaming\Microsoft\Excel\97.jpg" TargetMode="External"/><Relationship Id="rId12" Type="http://schemas.openxmlformats.org/officeDocument/2006/relationships/hyperlink" Target="file:///C:\Users\PMO\AppData\Roaming\Microsoft\Excel\1.jpg" TargetMode="External"/><Relationship Id="rId2" Type="http://schemas.openxmlformats.org/officeDocument/2006/relationships/hyperlink" Target="file:///C:\Users\PMO\AppData\Roaming\Microsoft\Excel\72.jpg" TargetMode="External"/><Relationship Id="rId16" Type="http://schemas.openxmlformats.org/officeDocument/2006/relationships/comments" Target="../comments3.xml"/><Relationship Id="rId1" Type="http://schemas.openxmlformats.org/officeDocument/2006/relationships/hyperlink" Target="file:///C:\Users\PMO\AppData\Roaming\Microsoft\Excel\71.jpg" TargetMode="External"/><Relationship Id="rId6" Type="http://schemas.openxmlformats.org/officeDocument/2006/relationships/hyperlink" Target="file:///C:\Users\PMO\AppData\Roaming\Microsoft\Excel\100.jpg" TargetMode="External"/><Relationship Id="rId11" Type="http://schemas.openxmlformats.org/officeDocument/2006/relationships/hyperlink" Target="file:///C:\Users\PMO\AppData\Roaming\Microsoft\Excel\64.jpg" TargetMode="External"/><Relationship Id="rId5" Type="http://schemas.openxmlformats.org/officeDocument/2006/relationships/hyperlink" Target="file:///C:\Users\PMO\AppData\Roaming\Microsoft\Excel\93.jpg" TargetMode="External"/><Relationship Id="rId15" Type="http://schemas.openxmlformats.org/officeDocument/2006/relationships/vmlDrawing" Target="../drawings/vmlDrawing3.vml"/><Relationship Id="rId10" Type="http://schemas.openxmlformats.org/officeDocument/2006/relationships/hyperlink" Target="file:///C:\Users\PMO\AppData\Roaming\Microsoft\Excel\63.jpg" TargetMode="External"/><Relationship Id="rId4" Type="http://schemas.openxmlformats.org/officeDocument/2006/relationships/hyperlink" Target="file:///C:\Users\PMO\AppData\Roaming\Microsoft\Excel\87.jpg" TargetMode="External"/><Relationship Id="rId9" Type="http://schemas.openxmlformats.org/officeDocument/2006/relationships/hyperlink" Target="file:///C:\Users\PMO\AppData\Roaming\Microsoft\Excel\104.jpg" TargetMode="External"/><Relationship Id="rId1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8" Type="http://schemas.openxmlformats.org/officeDocument/2006/relationships/hyperlink" Target="file:///C:\Users\PMO\AppData\Roaming\Microsoft\Excel\101.jpg" TargetMode="External"/><Relationship Id="rId13" Type="http://schemas.openxmlformats.org/officeDocument/2006/relationships/hyperlink" Target="file:///C:\Users\PMO\AppData\Roaming\Microsoft\Excel\50.jpg" TargetMode="External"/><Relationship Id="rId3" Type="http://schemas.openxmlformats.org/officeDocument/2006/relationships/hyperlink" Target="file:///C:\Users\PMO\AppData\Roaming\Microsoft\Excel\74.jpg" TargetMode="External"/><Relationship Id="rId7" Type="http://schemas.openxmlformats.org/officeDocument/2006/relationships/hyperlink" Target="file:///C:\Users\PMO\AppData\Roaming\Microsoft\Excel\97.jpg" TargetMode="External"/><Relationship Id="rId12" Type="http://schemas.openxmlformats.org/officeDocument/2006/relationships/hyperlink" Target="file:///C:\Users\PMO\AppData\Roaming\Microsoft\Excel\1.jpg" TargetMode="External"/><Relationship Id="rId2" Type="http://schemas.openxmlformats.org/officeDocument/2006/relationships/hyperlink" Target="file:///C:\Users\PMO\AppData\Roaming\Microsoft\Excel\72.jpg" TargetMode="External"/><Relationship Id="rId16" Type="http://schemas.openxmlformats.org/officeDocument/2006/relationships/comments" Target="../comments4.xml"/><Relationship Id="rId1" Type="http://schemas.openxmlformats.org/officeDocument/2006/relationships/hyperlink" Target="file:///C:\Users\PMO\AppData\Roaming\Microsoft\Excel\71.jpg" TargetMode="External"/><Relationship Id="rId6" Type="http://schemas.openxmlformats.org/officeDocument/2006/relationships/hyperlink" Target="file:///C:\Users\PMO\AppData\Roaming\Microsoft\Excel\100.jpg" TargetMode="External"/><Relationship Id="rId11" Type="http://schemas.openxmlformats.org/officeDocument/2006/relationships/hyperlink" Target="file:///C:\Users\PMO\AppData\Roaming\Microsoft\Excel\64.jpg" TargetMode="External"/><Relationship Id="rId5" Type="http://schemas.openxmlformats.org/officeDocument/2006/relationships/hyperlink" Target="file:///C:\Users\PMO\AppData\Roaming\Microsoft\Excel\93.jpg" TargetMode="External"/><Relationship Id="rId15" Type="http://schemas.openxmlformats.org/officeDocument/2006/relationships/vmlDrawing" Target="../drawings/vmlDrawing4.vml"/><Relationship Id="rId10" Type="http://schemas.openxmlformats.org/officeDocument/2006/relationships/hyperlink" Target="file:///C:\Users\PMO\AppData\Roaming\Microsoft\Excel\63.jpg" TargetMode="External"/><Relationship Id="rId4" Type="http://schemas.openxmlformats.org/officeDocument/2006/relationships/hyperlink" Target="file:///C:\Users\PMO\AppData\Roaming\Microsoft\Excel\87.jpg" TargetMode="External"/><Relationship Id="rId9" Type="http://schemas.openxmlformats.org/officeDocument/2006/relationships/hyperlink" Target="file:///C:\Users\PMO\AppData\Roaming\Microsoft\Excel\104.jpg" TargetMode="External"/><Relationship Id="rId14"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8" Type="http://schemas.openxmlformats.org/officeDocument/2006/relationships/hyperlink" Target="file:///C:\Users\PMO\AppData\Roaming\Microsoft\Excel\101.jpg" TargetMode="External"/><Relationship Id="rId13" Type="http://schemas.openxmlformats.org/officeDocument/2006/relationships/hyperlink" Target="file:///C:\Users\PMO\AppData\Roaming\Microsoft\Excel\50.jpg" TargetMode="External"/><Relationship Id="rId3" Type="http://schemas.openxmlformats.org/officeDocument/2006/relationships/hyperlink" Target="file:///C:\Users\PMO\AppData\Roaming\Microsoft\Excel\74.jpg" TargetMode="External"/><Relationship Id="rId7" Type="http://schemas.openxmlformats.org/officeDocument/2006/relationships/hyperlink" Target="file:///C:\Users\PMO\AppData\Roaming\Microsoft\Excel\97.jpg" TargetMode="External"/><Relationship Id="rId12" Type="http://schemas.openxmlformats.org/officeDocument/2006/relationships/hyperlink" Target="file:///C:\Users\PMO\AppData\Roaming\Microsoft\Excel\1.jpg" TargetMode="External"/><Relationship Id="rId2" Type="http://schemas.openxmlformats.org/officeDocument/2006/relationships/hyperlink" Target="file:///C:\Users\PMO\AppData\Roaming\Microsoft\Excel\72.jpg" TargetMode="External"/><Relationship Id="rId16" Type="http://schemas.openxmlformats.org/officeDocument/2006/relationships/comments" Target="../comments5.xml"/><Relationship Id="rId1" Type="http://schemas.openxmlformats.org/officeDocument/2006/relationships/hyperlink" Target="file:///C:\Users\PMO\AppData\Roaming\Microsoft\Excel\71.jpg" TargetMode="External"/><Relationship Id="rId6" Type="http://schemas.openxmlformats.org/officeDocument/2006/relationships/hyperlink" Target="file:///C:\Users\PMO\AppData\Roaming\Microsoft\Excel\100.jpg" TargetMode="External"/><Relationship Id="rId11" Type="http://schemas.openxmlformats.org/officeDocument/2006/relationships/hyperlink" Target="file:///C:\Users\PMO\AppData\Roaming\Microsoft\Excel\64.jpg" TargetMode="External"/><Relationship Id="rId5" Type="http://schemas.openxmlformats.org/officeDocument/2006/relationships/hyperlink" Target="file:///C:\Users\PMO\AppData\Roaming\Microsoft\Excel\93.jpg" TargetMode="External"/><Relationship Id="rId15" Type="http://schemas.openxmlformats.org/officeDocument/2006/relationships/vmlDrawing" Target="../drawings/vmlDrawing5.vml"/><Relationship Id="rId10" Type="http://schemas.openxmlformats.org/officeDocument/2006/relationships/hyperlink" Target="file:///C:\Users\PMO\AppData\Roaming\Microsoft\Excel\63.jpg" TargetMode="External"/><Relationship Id="rId4" Type="http://schemas.openxmlformats.org/officeDocument/2006/relationships/hyperlink" Target="file:///C:\Users\PMO\AppData\Roaming\Microsoft\Excel\87.jpg" TargetMode="External"/><Relationship Id="rId9" Type="http://schemas.openxmlformats.org/officeDocument/2006/relationships/hyperlink" Target="file:///C:\Users\PMO\AppData\Roaming\Microsoft\Excel\104.jpg" TargetMode="External"/><Relationship Id="rId14"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file:///C:\Users\PMO\AppData\Roaming\Microsoft\Excel\50.jpg"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file:///C:\Users\PMO\AppData\Roaming\Microsoft\Excel\71.jpg"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file:///C:\Users\PMO\AppData\Roaming\Microsoft\Excel\101.jpg" TargetMode="External"/><Relationship Id="rId13" Type="http://schemas.openxmlformats.org/officeDocument/2006/relationships/hyperlink" Target="file:///C:\Users\PMO\AppData\Roaming\Microsoft\Excel\50.jpg" TargetMode="External"/><Relationship Id="rId3" Type="http://schemas.openxmlformats.org/officeDocument/2006/relationships/hyperlink" Target="file:///C:\Users\PMO\AppData\Roaming\Microsoft\Excel\74.jpg" TargetMode="External"/><Relationship Id="rId7" Type="http://schemas.openxmlformats.org/officeDocument/2006/relationships/hyperlink" Target="file:///C:\Users\PMO\AppData\Roaming\Microsoft\Excel\97.jpg" TargetMode="External"/><Relationship Id="rId12" Type="http://schemas.openxmlformats.org/officeDocument/2006/relationships/hyperlink" Target="file:///C:\Users\PMO\AppData\Roaming\Microsoft\Excel\1.jpg" TargetMode="External"/><Relationship Id="rId2" Type="http://schemas.openxmlformats.org/officeDocument/2006/relationships/hyperlink" Target="file:///C:\Users\PMO\AppData\Roaming\Microsoft\Excel\72.jpg" TargetMode="External"/><Relationship Id="rId16" Type="http://schemas.openxmlformats.org/officeDocument/2006/relationships/comments" Target="../comments6.xml"/><Relationship Id="rId1" Type="http://schemas.openxmlformats.org/officeDocument/2006/relationships/hyperlink" Target="file:///C:\Users\PMO\AppData\Roaming\Microsoft\Excel\71.jpg" TargetMode="External"/><Relationship Id="rId6" Type="http://schemas.openxmlformats.org/officeDocument/2006/relationships/hyperlink" Target="file:///C:\Users\PMO\AppData\Roaming\Microsoft\Excel\100.jpg" TargetMode="External"/><Relationship Id="rId11" Type="http://schemas.openxmlformats.org/officeDocument/2006/relationships/hyperlink" Target="file:///C:\Users\PMO\AppData\Roaming\Microsoft\Excel\64.jpg" TargetMode="External"/><Relationship Id="rId5" Type="http://schemas.openxmlformats.org/officeDocument/2006/relationships/hyperlink" Target="file:///C:\Users\PMO\AppData\Roaming\Microsoft\Excel\93.jpg" TargetMode="External"/><Relationship Id="rId15" Type="http://schemas.openxmlformats.org/officeDocument/2006/relationships/vmlDrawing" Target="../drawings/vmlDrawing6.vml"/><Relationship Id="rId10" Type="http://schemas.openxmlformats.org/officeDocument/2006/relationships/hyperlink" Target="file:///C:\Users\PMO\AppData\Roaming\Microsoft\Excel\63.jpg" TargetMode="External"/><Relationship Id="rId4" Type="http://schemas.openxmlformats.org/officeDocument/2006/relationships/hyperlink" Target="file:///C:\Users\PMO\AppData\Roaming\Microsoft\Excel\87.jpg" TargetMode="External"/><Relationship Id="rId9" Type="http://schemas.openxmlformats.org/officeDocument/2006/relationships/hyperlink" Target="file:///C:\Users\PMO\AppData\Roaming\Microsoft\Excel\104.jpg" TargetMode="External"/><Relationship Id="rId14"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42"/>
  <sheetViews>
    <sheetView topLeftCell="A14" workbookViewId="0">
      <selection activeCell="D35" sqref="D35"/>
    </sheetView>
  </sheetViews>
  <sheetFormatPr defaultRowHeight="15" x14ac:dyDescent="0.25"/>
  <cols>
    <col min="1" max="1" width="13.42578125" customWidth="1"/>
    <col min="2" max="2" width="6.42578125" customWidth="1"/>
    <col min="4" max="4" width="20.140625" customWidth="1"/>
    <col min="5" max="5" width="11.85546875" customWidth="1"/>
    <col min="6" max="6" width="16.28515625" customWidth="1"/>
    <col min="7" max="7" width="13.5703125" customWidth="1"/>
  </cols>
  <sheetData>
    <row r="3" spans="1:13" ht="15.75" customHeight="1" x14ac:dyDescent="0.25">
      <c r="C3" s="399" t="s">
        <v>53</v>
      </c>
      <c r="D3" s="399"/>
      <c r="E3" s="399"/>
      <c r="F3" s="399"/>
    </row>
    <row r="4" spans="1:13" ht="15.75" customHeight="1" x14ac:dyDescent="0.25">
      <c r="C4" s="399"/>
      <c r="D4" s="399"/>
      <c r="E4" s="399"/>
      <c r="F4" s="399"/>
    </row>
    <row r="5" spans="1:13" ht="15.75" x14ac:dyDescent="0.25">
      <c r="C5" s="1" t="s">
        <v>54</v>
      </c>
    </row>
    <row r="6" spans="1:13" x14ac:dyDescent="0.25">
      <c r="C6" s="2" t="s">
        <v>55</v>
      </c>
      <c r="D6" s="2"/>
      <c r="E6" s="2"/>
      <c r="F6" s="2"/>
      <c r="G6" s="2"/>
      <c r="H6" s="2"/>
      <c r="I6" s="2"/>
      <c r="J6" s="2"/>
      <c r="K6" s="2"/>
      <c r="L6" s="3"/>
      <c r="M6" s="3"/>
    </row>
    <row r="7" spans="1:13" x14ac:dyDescent="0.25">
      <c r="C7" s="4" t="s">
        <v>56</v>
      </c>
      <c r="E7" s="5"/>
    </row>
    <row r="8" spans="1:13" s="9" customFormat="1" ht="15.75" x14ac:dyDescent="0.25">
      <c r="A8" s="402"/>
      <c r="B8" s="402"/>
      <c r="C8" s="13"/>
      <c r="D8" s="13"/>
      <c r="E8" s="13"/>
      <c r="F8" s="13"/>
      <c r="G8" s="13"/>
    </row>
    <row r="10" spans="1:13" ht="15.75" x14ac:dyDescent="0.25">
      <c r="A10" s="400">
        <v>44308</v>
      </c>
      <c r="B10" s="400"/>
      <c r="C10" s="400"/>
      <c r="D10" s="400"/>
      <c r="E10" s="400"/>
      <c r="F10" s="6"/>
      <c r="G10" s="6"/>
    </row>
    <row r="11" spans="1:13" s="9" customFormat="1" ht="15.75" x14ac:dyDescent="0.25">
      <c r="A11" s="402"/>
      <c r="B11" s="402"/>
      <c r="C11" s="13"/>
      <c r="D11" s="13"/>
      <c r="E11" s="13"/>
      <c r="F11" s="13"/>
      <c r="G11" s="13"/>
    </row>
    <row r="12" spans="1:13" ht="15.75" x14ac:dyDescent="0.25">
      <c r="A12" s="6"/>
      <c r="B12" s="6"/>
      <c r="C12" s="6"/>
      <c r="D12" s="6"/>
      <c r="E12" s="6"/>
      <c r="F12" s="6"/>
      <c r="G12" s="6"/>
    </row>
    <row r="13" spans="1:13" ht="15.75" x14ac:dyDescent="0.25">
      <c r="A13" s="7" t="s">
        <v>57</v>
      </c>
      <c r="B13" s="7" t="s">
        <v>61</v>
      </c>
      <c r="C13" s="6"/>
      <c r="D13" s="6"/>
      <c r="E13" s="8"/>
      <c r="F13" s="6"/>
      <c r="G13" s="6"/>
    </row>
    <row r="14" spans="1:13" ht="15.75" x14ac:dyDescent="0.25">
      <c r="A14" s="6"/>
      <c r="B14" s="6" t="s">
        <v>62</v>
      </c>
      <c r="C14" s="6"/>
      <c r="D14" s="6"/>
      <c r="E14" s="6"/>
      <c r="F14" s="6"/>
      <c r="G14" s="6"/>
    </row>
    <row r="15" spans="1:13" ht="15.75" x14ac:dyDescent="0.25">
      <c r="A15" s="6"/>
      <c r="B15" s="6" t="s">
        <v>67</v>
      </c>
      <c r="C15" s="6"/>
      <c r="D15" s="6"/>
      <c r="E15" s="6"/>
      <c r="F15" s="6"/>
      <c r="G15" s="6"/>
    </row>
    <row r="16" spans="1:13" ht="15.75" x14ac:dyDescent="0.25">
      <c r="A16" s="6"/>
      <c r="B16" s="6"/>
      <c r="C16" s="6"/>
      <c r="D16" s="6"/>
      <c r="E16" s="6"/>
      <c r="F16" s="6"/>
      <c r="G16" s="6"/>
    </row>
    <row r="17" spans="1:8" ht="15.75" x14ac:dyDescent="0.25">
      <c r="A17" s="7" t="s">
        <v>58</v>
      </c>
      <c r="B17" s="7" t="s">
        <v>59</v>
      </c>
      <c r="C17" s="6"/>
      <c r="D17" s="7"/>
      <c r="E17" s="6"/>
      <c r="F17" s="6"/>
      <c r="G17" s="6"/>
    </row>
    <row r="18" spans="1:8" ht="15.75" x14ac:dyDescent="0.25">
      <c r="A18" s="6"/>
      <c r="B18" s="6"/>
      <c r="C18" s="6"/>
      <c r="D18" s="6"/>
      <c r="E18" s="6"/>
      <c r="F18" s="6"/>
      <c r="G18" s="6"/>
    </row>
    <row r="19" spans="1:8" ht="15.75" x14ac:dyDescent="0.25">
      <c r="A19" s="7" t="s">
        <v>63</v>
      </c>
      <c r="B19" s="7" t="s">
        <v>64</v>
      </c>
      <c r="C19" s="6"/>
      <c r="D19" s="6"/>
      <c r="E19" s="6"/>
      <c r="F19" s="6"/>
      <c r="G19" s="6"/>
    </row>
    <row r="20" spans="1:8" s="9" customFormat="1" ht="15.75" x14ac:dyDescent="0.25">
      <c r="A20" s="15"/>
      <c r="B20" s="18" t="s">
        <v>65</v>
      </c>
      <c r="C20" s="15"/>
      <c r="D20" s="15"/>
      <c r="E20" s="15"/>
      <c r="F20" s="15"/>
      <c r="G20" s="15"/>
    </row>
    <row r="21" spans="1:8" s="9" customFormat="1" ht="15.75" x14ac:dyDescent="0.25">
      <c r="A21" s="15"/>
      <c r="B21" s="15"/>
      <c r="C21" s="15"/>
      <c r="D21" s="15"/>
      <c r="E21" s="15"/>
      <c r="F21" s="15"/>
      <c r="G21" s="15"/>
    </row>
    <row r="22" spans="1:8" s="9" customFormat="1" ht="15.75" x14ac:dyDescent="0.25">
      <c r="B22" s="15"/>
      <c r="C22" s="15"/>
      <c r="D22" s="15"/>
      <c r="E22" s="15"/>
      <c r="F22" s="15"/>
      <c r="G22" s="15"/>
    </row>
    <row r="23" spans="1:8" s="9" customFormat="1" ht="15.75" x14ac:dyDescent="0.25">
      <c r="A23" s="15" t="s">
        <v>68</v>
      </c>
      <c r="B23" s="10"/>
      <c r="C23" s="10"/>
      <c r="D23" s="10"/>
      <c r="E23" s="10"/>
      <c r="F23" s="10"/>
      <c r="G23" s="10"/>
    </row>
    <row r="24" spans="1:8" s="9" customFormat="1" ht="15.75" x14ac:dyDescent="0.25">
      <c r="A24" s="19" t="s">
        <v>69</v>
      </c>
      <c r="B24" s="16"/>
      <c r="C24" s="16"/>
      <c r="D24" s="11"/>
      <c r="E24" s="11"/>
      <c r="F24" s="11"/>
      <c r="G24" s="11"/>
      <c r="H24" s="12"/>
    </row>
    <row r="25" spans="1:8" s="9" customFormat="1" ht="15.75" x14ac:dyDescent="0.25">
      <c r="A25" s="16"/>
      <c r="B25" s="16"/>
      <c r="C25" s="16"/>
      <c r="D25" s="13"/>
      <c r="E25" s="13"/>
      <c r="F25" s="13"/>
      <c r="G25" s="13"/>
    </row>
    <row r="26" spans="1:8" s="9" customFormat="1" ht="15.75" x14ac:dyDescent="0.25">
      <c r="A26" s="15" t="s">
        <v>72</v>
      </c>
      <c r="B26" s="17"/>
      <c r="C26" s="13"/>
      <c r="D26" s="13"/>
      <c r="E26" s="13"/>
      <c r="F26" s="13"/>
      <c r="G26" s="13"/>
    </row>
    <row r="27" spans="1:8" s="9" customFormat="1" ht="15.75" x14ac:dyDescent="0.25">
      <c r="A27" s="15" t="s">
        <v>71</v>
      </c>
      <c r="B27" s="17"/>
      <c r="C27" s="13"/>
      <c r="D27" s="13"/>
      <c r="E27" s="13"/>
      <c r="F27" s="13"/>
      <c r="G27" s="13"/>
    </row>
    <row r="28" spans="1:8" s="9" customFormat="1" ht="15.75" x14ac:dyDescent="0.25">
      <c r="A28" s="17"/>
      <c r="B28" s="17"/>
      <c r="C28" s="13"/>
      <c r="D28" s="13"/>
      <c r="E28" s="13"/>
      <c r="F28" s="13"/>
      <c r="G28" s="13"/>
    </row>
    <row r="29" spans="1:8" s="9" customFormat="1" ht="15.75" x14ac:dyDescent="0.25">
      <c r="A29" s="15" t="s">
        <v>70</v>
      </c>
      <c r="B29" s="17"/>
      <c r="C29" s="13"/>
      <c r="D29" s="13"/>
      <c r="E29" s="13"/>
      <c r="F29" s="13"/>
      <c r="G29" s="13"/>
    </row>
    <row r="30" spans="1:8" s="9" customFormat="1" ht="15.75" x14ac:dyDescent="0.25">
      <c r="A30" s="402"/>
      <c r="B30" s="402"/>
      <c r="C30" s="13"/>
      <c r="D30" s="13"/>
      <c r="E30" s="13"/>
      <c r="F30" s="13"/>
      <c r="G30" s="13"/>
    </row>
    <row r="31" spans="1:8" s="9" customFormat="1" ht="15.75" x14ac:dyDescent="0.25">
      <c r="A31" s="402"/>
      <c r="B31" s="402"/>
      <c r="C31" s="13"/>
      <c r="D31" s="13"/>
      <c r="E31" s="13"/>
      <c r="F31" s="13"/>
      <c r="G31" s="13"/>
    </row>
    <row r="32" spans="1:8" s="9" customFormat="1" ht="15.75" x14ac:dyDescent="0.25">
      <c r="A32" s="402"/>
      <c r="B32" s="402"/>
      <c r="C32" s="13"/>
      <c r="D32" s="13"/>
      <c r="E32" s="13"/>
      <c r="F32" s="13"/>
      <c r="G32" s="13"/>
    </row>
    <row r="33" spans="1:7" s="9" customFormat="1" ht="15.75" x14ac:dyDescent="0.25">
      <c r="A33" s="18" t="s">
        <v>0</v>
      </c>
      <c r="B33" s="15"/>
      <c r="C33" s="13"/>
      <c r="D33" s="13"/>
      <c r="E33" s="13"/>
      <c r="F33" s="13"/>
      <c r="G33" s="13"/>
    </row>
    <row r="34" spans="1:7" s="9" customFormat="1" ht="15.75" x14ac:dyDescent="0.25">
      <c r="A34" s="15" t="s">
        <v>60</v>
      </c>
      <c r="B34" s="15"/>
      <c r="C34" s="13"/>
      <c r="D34" s="13"/>
      <c r="E34" s="13"/>
      <c r="F34" s="13"/>
      <c r="G34" s="13"/>
    </row>
    <row r="35" spans="1:7" s="9" customFormat="1" ht="15.75" x14ac:dyDescent="0.25">
      <c r="A35" s="401"/>
      <c r="B35" s="401"/>
      <c r="C35" s="13"/>
      <c r="D35" s="13"/>
      <c r="E35" s="13"/>
      <c r="F35" s="13"/>
      <c r="G35" s="13"/>
    </row>
    <row r="36" spans="1:7" s="9" customFormat="1" ht="15.75" x14ac:dyDescent="0.25">
      <c r="A36" s="10"/>
      <c r="B36" s="10"/>
      <c r="C36" s="10"/>
      <c r="D36" s="10"/>
      <c r="E36" s="10"/>
      <c r="F36" s="10"/>
      <c r="G36" s="10"/>
    </row>
    <row r="37" spans="1:7" s="9" customFormat="1" ht="15.75" x14ac:dyDescent="0.25">
      <c r="A37" s="10"/>
      <c r="B37" s="10"/>
      <c r="D37" s="10"/>
      <c r="F37" s="10"/>
      <c r="G37" s="10"/>
    </row>
    <row r="38" spans="1:7" s="9" customFormat="1" ht="15.75" x14ac:dyDescent="0.25">
      <c r="A38" s="10"/>
      <c r="B38" s="10"/>
      <c r="D38" s="10"/>
      <c r="F38" s="10"/>
      <c r="G38" s="10"/>
    </row>
    <row r="39" spans="1:7" s="9" customFormat="1" ht="15.75" x14ac:dyDescent="0.25">
      <c r="A39" s="10"/>
      <c r="B39" s="10"/>
      <c r="D39" s="10"/>
      <c r="F39" s="10"/>
      <c r="G39" s="10"/>
    </row>
    <row r="40" spans="1:7" s="9" customFormat="1" ht="15.75" x14ac:dyDescent="0.25">
      <c r="A40" s="10"/>
      <c r="B40" s="10"/>
      <c r="D40" s="10"/>
      <c r="F40" s="10"/>
      <c r="G40" s="10"/>
    </row>
    <row r="41" spans="1:7" s="9" customFormat="1" x14ac:dyDescent="0.25">
      <c r="A41" s="14"/>
      <c r="B41" s="14"/>
      <c r="D41" s="14"/>
      <c r="F41" s="14"/>
    </row>
    <row r="42" spans="1:7" s="9" customFormat="1" x14ac:dyDescent="0.25"/>
  </sheetData>
  <mergeCells count="8">
    <mergeCell ref="C3:F4"/>
    <mergeCell ref="A10:E10"/>
    <mergeCell ref="A35:B35"/>
    <mergeCell ref="A11:B11"/>
    <mergeCell ref="A8:B8"/>
    <mergeCell ref="A30:B30"/>
    <mergeCell ref="A31:B31"/>
    <mergeCell ref="A32:B32"/>
  </mergeCells>
  <hyperlinks>
    <hyperlink ref="C7" r:id="rId1" display="http://www.nfa.gov.ph/"/>
  </hyperlinks>
  <pageMargins left="0.42" right="0.44" top="0.75" bottom="0.23" header="0.3" footer="0.15"/>
  <pageSetup paperSize="9" orientation="portrait" horizontalDpi="0" verticalDpi="0"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S102"/>
  <sheetViews>
    <sheetView showGridLines="0" tabSelected="1" view="pageBreakPreview" zoomScale="130" zoomScaleNormal="140" zoomScaleSheetLayoutView="130" workbookViewId="0">
      <pane ySplit="9" topLeftCell="A10" activePane="bottomLeft" state="frozen"/>
      <selection activeCell="D1" sqref="D1"/>
      <selection pane="bottomLeft" activeCell="K11" sqref="K11"/>
    </sheetView>
  </sheetViews>
  <sheetFormatPr defaultRowHeight="12.75" x14ac:dyDescent="0.2"/>
  <cols>
    <col min="1" max="1" width="4.42578125" style="69" customWidth="1"/>
    <col min="2" max="2" width="8.5703125" style="69" customWidth="1"/>
    <col min="3" max="3" width="9" style="20" hidden="1" customWidth="1"/>
    <col min="4" max="4" width="31.5703125" style="69" customWidth="1"/>
    <col min="5" max="5" width="20.7109375" style="72" customWidth="1"/>
    <col min="6" max="6" width="9.5703125" style="22" bestFit="1" customWidth="1"/>
    <col min="7" max="7" width="10" style="377" customWidth="1"/>
    <col min="8" max="8" width="6.7109375" style="378" customWidth="1"/>
    <col min="9" max="9" width="12.42578125" style="379" customWidth="1"/>
    <col min="10" max="10" width="5.5703125" style="379" customWidth="1"/>
    <col min="11" max="11" width="23.28515625" style="377" bestFit="1" customWidth="1"/>
    <col min="12" max="12" width="13.85546875" style="21" customWidth="1"/>
    <col min="13" max="13" width="9.5703125" style="22" customWidth="1"/>
    <col min="14" max="14" width="7.5703125" style="379" customWidth="1"/>
    <col min="15" max="15" width="5.7109375" style="377" customWidth="1"/>
    <col min="16" max="16" width="7.140625" style="377" customWidth="1"/>
    <col min="17" max="17" width="17" style="377" customWidth="1"/>
    <col min="18" max="18" width="7.28515625" style="20" hidden="1" customWidth="1"/>
    <col min="19" max="19" width="17.7109375" style="72" customWidth="1"/>
    <col min="20" max="16384" width="9.140625" style="69"/>
  </cols>
  <sheetData>
    <row r="1" spans="2:19" x14ac:dyDescent="0.2">
      <c r="I1" s="69"/>
      <c r="J1" s="69"/>
      <c r="N1" s="69"/>
      <c r="Q1" s="407" t="s">
        <v>119</v>
      </c>
      <c r="R1" s="408"/>
    </row>
    <row r="2" spans="2:19" x14ac:dyDescent="0.2">
      <c r="B2" s="403" t="s">
        <v>96</v>
      </c>
      <c r="C2" s="404"/>
      <c r="D2" s="403"/>
      <c r="E2" s="403"/>
      <c r="F2" s="404"/>
      <c r="G2" s="403"/>
      <c r="H2" s="403"/>
      <c r="I2" s="403"/>
      <c r="J2" s="403"/>
      <c r="K2" s="403"/>
      <c r="L2" s="404"/>
      <c r="M2" s="404"/>
      <c r="N2" s="403"/>
      <c r="O2" s="403"/>
      <c r="P2" s="403"/>
      <c r="Q2" s="403"/>
    </row>
    <row r="3" spans="2:19" x14ac:dyDescent="0.2">
      <c r="B3" s="403" t="s">
        <v>121</v>
      </c>
      <c r="C3" s="404"/>
      <c r="D3" s="403"/>
      <c r="E3" s="403"/>
      <c r="F3" s="404"/>
      <c r="G3" s="403"/>
      <c r="H3" s="403"/>
      <c r="I3" s="403"/>
      <c r="J3" s="403"/>
      <c r="K3" s="403"/>
      <c r="L3" s="404"/>
      <c r="M3" s="404"/>
      <c r="N3" s="403"/>
      <c r="O3" s="403"/>
      <c r="P3" s="403"/>
      <c r="Q3" s="403"/>
    </row>
    <row r="4" spans="2:19" x14ac:dyDescent="0.2">
      <c r="B4" s="403" t="s">
        <v>796</v>
      </c>
      <c r="C4" s="404"/>
      <c r="D4" s="403"/>
      <c r="E4" s="403"/>
      <c r="F4" s="404"/>
      <c r="G4" s="403"/>
      <c r="H4" s="403"/>
      <c r="I4" s="403"/>
      <c r="J4" s="403"/>
      <c r="K4" s="403"/>
      <c r="L4" s="404"/>
      <c r="M4" s="404"/>
      <c r="N4" s="403"/>
      <c r="O4" s="403"/>
      <c r="P4" s="403"/>
      <c r="Q4" s="403"/>
    </row>
    <row r="5" spans="2:19" x14ac:dyDescent="0.2">
      <c r="L5" s="73"/>
      <c r="O5" s="380"/>
      <c r="P5" s="381"/>
    </row>
    <row r="6" spans="2:19" x14ac:dyDescent="0.2">
      <c r="B6" s="403" t="s">
        <v>120</v>
      </c>
      <c r="C6" s="404"/>
      <c r="D6" s="403"/>
      <c r="E6" s="403"/>
      <c r="F6" s="404"/>
      <c r="G6" s="403"/>
      <c r="H6" s="403"/>
      <c r="I6" s="403"/>
      <c r="J6" s="403"/>
      <c r="K6" s="403"/>
      <c r="L6" s="404"/>
      <c r="M6" s="404"/>
      <c r="N6" s="403"/>
      <c r="O6" s="403"/>
      <c r="P6" s="403"/>
      <c r="Q6" s="403"/>
    </row>
    <row r="8" spans="2:19" s="38" customFormat="1" ht="37.5" customHeight="1" x14ac:dyDescent="0.2">
      <c r="B8" s="409" t="s">
        <v>110</v>
      </c>
      <c r="C8" s="61" t="s">
        <v>1</v>
      </c>
      <c r="D8" s="405" t="s">
        <v>97</v>
      </c>
      <c r="E8" s="411" t="s">
        <v>116</v>
      </c>
      <c r="F8" s="405" t="s">
        <v>155</v>
      </c>
      <c r="G8" s="405" t="s">
        <v>156</v>
      </c>
      <c r="H8" s="405" t="s">
        <v>136</v>
      </c>
      <c r="I8" s="413" t="s">
        <v>98</v>
      </c>
      <c r="J8" s="415" t="s">
        <v>132</v>
      </c>
      <c r="K8" s="405" t="s">
        <v>3</v>
      </c>
      <c r="L8" s="405" t="s">
        <v>2</v>
      </c>
      <c r="M8" s="405" t="s">
        <v>101</v>
      </c>
      <c r="N8" s="415" t="s">
        <v>100</v>
      </c>
      <c r="O8" s="417" t="s">
        <v>131</v>
      </c>
      <c r="P8" s="418"/>
      <c r="Q8" s="405" t="s">
        <v>99</v>
      </c>
      <c r="R8" s="61" t="s">
        <v>4</v>
      </c>
      <c r="S8" s="43"/>
    </row>
    <row r="9" spans="2:19" s="382" customFormat="1" ht="25.5" customHeight="1" x14ac:dyDescent="0.25">
      <c r="B9" s="410"/>
      <c r="C9" s="63"/>
      <c r="D9" s="406"/>
      <c r="E9" s="412"/>
      <c r="F9" s="406"/>
      <c r="G9" s="406"/>
      <c r="H9" s="406"/>
      <c r="I9" s="414"/>
      <c r="J9" s="416"/>
      <c r="K9" s="406"/>
      <c r="L9" s="406"/>
      <c r="M9" s="406"/>
      <c r="N9" s="416"/>
      <c r="O9" s="61" t="s">
        <v>130</v>
      </c>
      <c r="P9" s="61" t="s">
        <v>117</v>
      </c>
      <c r="Q9" s="406"/>
      <c r="R9" s="61"/>
      <c r="S9" s="383"/>
    </row>
    <row r="10" spans="2:19" x14ac:dyDescent="0.2">
      <c r="B10" s="88" t="s">
        <v>111</v>
      </c>
      <c r="D10" s="25"/>
      <c r="E10" s="59"/>
      <c r="F10" s="28"/>
      <c r="G10" s="28"/>
      <c r="H10" s="25"/>
      <c r="I10" s="26"/>
      <c r="J10" s="26"/>
      <c r="K10" s="28"/>
      <c r="L10" s="74"/>
      <c r="M10" s="28"/>
      <c r="N10" s="26"/>
      <c r="O10" s="28"/>
      <c r="P10" s="28"/>
      <c r="Q10" s="28"/>
      <c r="R10" s="25"/>
    </row>
    <row r="11" spans="2:19" x14ac:dyDescent="0.25">
      <c r="B11" s="70"/>
      <c r="C11" s="29">
        <v>43462</v>
      </c>
      <c r="D11" s="28" t="s">
        <v>104</v>
      </c>
      <c r="E11" s="30" t="s">
        <v>5</v>
      </c>
      <c r="F11" s="32"/>
      <c r="G11" s="90">
        <v>43462</v>
      </c>
      <c r="H11" s="64"/>
      <c r="I11" s="31">
        <v>1782828.5</v>
      </c>
      <c r="J11" s="67">
        <v>1</v>
      </c>
      <c r="K11" s="32" t="s">
        <v>750</v>
      </c>
      <c r="L11" s="75" t="s">
        <v>798</v>
      </c>
      <c r="M11" s="32" t="s">
        <v>105</v>
      </c>
      <c r="N11" s="67">
        <v>1</v>
      </c>
      <c r="O11" s="66">
        <v>0</v>
      </c>
      <c r="P11" s="66">
        <v>0</v>
      </c>
      <c r="Q11" s="53"/>
      <c r="R11" s="33" t="s">
        <v>40</v>
      </c>
    </row>
    <row r="12" spans="2:19" x14ac:dyDescent="0.25">
      <c r="B12" s="70"/>
      <c r="C12" s="29">
        <v>28858</v>
      </c>
      <c r="D12" s="28" t="s">
        <v>104</v>
      </c>
      <c r="E12" s="30" t="s">
        <v>86</v>
      </c>
      <c r="F12" s="32"/>
      <c r="G12" s="90">
        <v>28915</v>
      </c>
      <c r="H12" s="64"/>
      <c r="I12" s="31">
        <v>1476980.09</v>
      </c>
      <c r="J12" s="67">
        <v>1</v>
      </c>
      <c r="K12" s="32" t="s">
        <v>750</v>
      </c>
      <c r="L12" s="75" t="s">
        <v>102</v>
      </c>
      <c r="M12" s="32" t="s">
        <v>105</v>
      </c>
      <c r="N12" s="67">
        <v>1</v>
      </c>
      <c r="O12" s="66">
        <v>0</v>
      </c>
      <c r="P12" s="66">
        <v>0</v>
      </c>
      <c r="Q12" s="53"/>
      <c r="R12" s="34"/>
    </row>
    <row r="13" spans="2:19" x14ac:dyDescent="0.25">
      <c r="B13" s="70"/>
      <c r="C13" s="29"/>
      <c r="D13" s="28"/>
      <c r="E13" s="30"/>
      <c r="F13" s="41" t="s">
        <v>82</v>
      </c>
      <c r="G13" s="41"/>
      <c r="H13" s="65"/>
      <c r="I13" s="35">
        <f>SUM(I11:I12)</f>
        <v>3259808.59</v>
      </c>
      <c r="J13" s="35"/>
      <c r="K13" s="32"/>
      <c r="L13" s="75"/>
      <c r="M13" s="32"/>
      <c r="N13" s="35"/>
      <c r="O13" s="32"/>
      <c r="P13" s="32"/>
      <c r="Q13" s="53"/>
      <c r="R13" s="34"/>
    </row>
    <row r="14" spans="2:19" s="382" customFormat="1" x14ac:dyDescent="0.25">
      <c r="B14" s="27" t="s">
        <v>149</v>
      </c>
      <c r="C14" s="68"/>
      <c r="D14" s="40"/>
      <c r="E14" s="60"/>
      <c r="F14" s="41"/>
      <c r="G14" s="41"/>
      <c r="H14" s="64"/>
      <c r="I14" s="35"/>
      <c r="J14" s="35"/>
      <c r="K14" s="41"/>
      <c r="L14" s="76"/>
      <c r="M14" s="41"/>
      <c r="N14" s="35"/>
      <c r="O14" s="41"/>
      <c r="P14" s="41"/>
      <c r="Q14" s="53"/>
      <c r="R14" s="86"/>
      <c r="S14" s="383"/>
    </row>
    <row r="15" spans="2:19" s="382" customFormat="1" ht="63.75" x14ac:dyDescent="0.25">
      <c r="B15" s="27"/>
      <c r="C15" s="68"/>
      <c r="D15" s="28" t="s">
        <v>154</v>
      </c>
      <c r="E15" s="32" t="s">
        <v>158</v>
      </c>
      <c r="F15" s="41"/>
      <c r="G15" s="90">
        <v>44564</v>
      </c>
      <c r="H15" s="64" t="s">
        <v>128</v>
      </c>
      <c r="I15" s="87">
        <v>305103.38</v>
      </c>
      <c r="J15" s="67">
        <v>1</v>
      </c>
      <c r="K15" s="32" t="s">
        <v>750</v>
      </c>
      <c r="L15" s="75" t="s">
        <v>153</v>
      </c>
      <c r="M15" s="32" t="s">
        <v>105</v>
      </c>
      <c r="N15" s="67">
        <v>1</v>
      </c>
      <c r="O15" s="66">
        <v>0</v>
      </c>
      <c r="P15" s="66">
        <v>0</v>
      </c>
      <c r="Q15" s="32"/>
      <c r="R15" s="86"/>
      <c r="S15" s="383"/>
    </row>
    <row r="16" spans="2:19" ht="63.75" x14ac:dyDescent="0.25">
      <c r="B16" s="336"/>
      <c r="C16" s="337"/>
      <c r="D16" s="335" t="s">
        <v>696</v>
      </c>
      <c r="E16" s="340" t="s">
        <v>697</v>
      </c>
      <c r="F16" s="338"/>
      <c r="G16" s="341">
        <v>45208</v>
      </c>
      <c r="H16" s="338" t="s">
        <v>128</v>
      </c>
      <c r="I16" s="339">
        <v>77137</v>
      </c>
      <c r="J16" s="342">
        <v>1</v>
      </c>
      <c r="K16" s="335" t="s">
        <v>84</v>
      </c>
      <c r="L16" s="335" t="s">
        <v>800</v>
      </c>
      <c r="M16" s="32" t="s">
        <v>105</v>
      </c>
      <c r="N16" s="67">
        <v>1</v>
      </c>
      <c r="O16" s="66">
        <v>0</v>
      </c>
      <c r="P16" s="66">
        <v>0</v>
      </c>
      <c r="Q16" s="338"/>
      <c r="R16" s="25"/>
    </row>
    <row r="17" spans="2:19" ht="25.5" x14ac:dyDescent="0.25">
      <c r="B17" s="336"/>
      <c r="C17" s="337"/>
      <c r="D17" s="335" t="s">
        <v>742</v>
      </c>
      <c r="E17" s="340" t="s">
        <v>743</v>
      </c>
      <c r="F17" s="338" t="s">
        <v>745</v>
      </c>
      <c r="G17" s="341">
        <v>45640</v>
      </c>
      <c r="H17" s="338" t="s">
        <v>124</v>
      </c>
      <c r="I17" s="339">
        <v>53000</v>
      </c>
      <c r="J17" s="342">
        <v>1</v>
      </c>
      <c r="K17" s="335" t="s">
        <v>84</v>
      </c>
      <c r="L17" s="469" t="s">
        <v>799</v>
      </c>
      <c r="M17" s="32" t="s">
        <v>105</v>
      </c>
      <c r="N17" s="67">
        <v>1</v>
      </c>
      <c r="O17" s="66">
        <v>0</v>
      </c>
      <c r="P17" s="66">
        <v>0</v>
      </c>
      <c r="Q17" s="25"/>
      <c r="R17" s="338"/>
    </row>
    <row r="18" spans="2:19" ht="25.5" x14ac:dyDescent="0.25">
      <c r="B18" s="336"/>
      <c r="C18" s="337"/>
      <c r="D18" s="335" t="s">
        <v>742</v>
      </c>
      <c r="E18" s="340" t="s">
        <v>744</v>
      </c>
      <c r="F18" s="338" t="s">
        <v>746</v>
      </c>
      <c r="G18" s="341">
        <v>45640</v>
      </c>
      <c r="H18" s="339" t="s">
        <v>124</v>
      </c>
      <c r="I18" s="339">
        <v>53000</v>
      </c>
      <c r="J18" s="342">
        <v>1</v>
      </c>
      <c r="K18" s="335" t="s">
        <v>84</v>
      </c>
      <c r="L18" s="469" t="s">
        <v>799</v>
      </c>
      <c r="M18" s="32" t="s">
        <v>105</v>
      </c>
      <c r="N18" s="67">
        <v>1</v>
      </c>
      <c r="O18" s="66">
        <v>0</v>
      </c>
      <c r="P18" s="66">
        <v>0</v>
      </c>
      <c r="Q18" s="397"/>
      <c r="R18" s="338"/>
    </row>
    <row r="19" spans="2:19" ht="13.5" x14ac:dyDescent="0.25">
      <c r="B19" s="336"/>
      <c r="C19" s="337"/>
      <c r="D19" s="335" t="s">
        <v>747</v>
      </c>
      <c r="E19" s="340" t="s">
        <v>748</v>
      </c>
      <c r="F19" s="338"/>
      <c r="G19" s="341">
        <v>45653</v>
      </c>
      <c r="H19" s="339" t="s">
        <v>124</v>
      </c>
      <c r="I19" s="339">
        <v>70092</v>
      </c>
      <c r="J19" s="342">
        <v>1</v>
      </c>
      <c r="K19" s="32" t="s">
        <v>750</v>
      </c>
      <c r="L19" s="469" t="s">
        <v>799</v>
      </c>
      <c r="M19" s="32" t="s">
        <v>105</v>
      </c>
      <c r="N19" s="67">
        <v>1</v>
      </c>
      <c r="O19" s="66"/>
      <c r="P19" s="66"/>
      <c r="Q19" s="397"/>
      <c r="R19" s="338"/>
    </row>
    <row r="20" spans="2:19" s="382" customFormat="1" x14ac:dyDescent="0.25">
      <c r="B20" s="384"/>
      <c r="C20" s="68"/>
      <c r="D20" s="40"/>
      <c r="E20" s="60"/>
      <c r="F20" s="41" t="s">
        <v>82</v>
      </c>
      <c r="G20" s="41"/>
      <c r="H20" s="64"/>
      <c r="I20" s="35">
        <f>SUM(I15:I19)</f>
        <v>558332.38</v>
      </c>
      <c r="J20" s="35"/>
      <c r="K20" s="41"/>
      <c r="L20" s="76"/>
      <c r="M20" s="41"/>
      <c r="N20" s="35"/>
      <c r="O20" s="41"/>
      <c r="P20" s="41"/>
      <c r="Q20" s="53"/>
      <c r="R20" s="86"/>
      <c r="S20" s="383"/>
    </row>
    <row r="21" spans="2:19" x14ac:dyDescent="0.2">
      <c r="B21" s="27" t="s">
        <v>146</v>
      </c>
      <c r="D21" s="28"/>
      <c r="E21" s="30"/>
      <c r="F21" s="32"/>
      <c r="G21" s="32"/>
      <c r="H21" s="64"/>
      <c r="I21" s="31"/>
      <c r="J21" s="31"/>
      <c r="K21" s="32"/>
      <c r="L21" s="75"/>
      <c r="M21" s="32"/>
      <c r="N21" s="31"/>
      <c r="O21" s="32"/>
      <c r="P21" s="32"/>
      <c r="Q21" s="82"/>
      <c r="R21" s="46"/>
    </row>
    <row r="22" spans="2:19" s="20" customFormat="1" ht="25.5" x14ac:dyDescent="0.2">
      <c r="B22" s="55"/>
      <c r="C22" s="37" t="s">
        <v>77</v>
      </c>
      <c r="D22" s="28" t="s">
        <v>20</v>
      </c>
      <c r="E22" s="30" t="s">
        <v>21</v>
      </c>
      <c r="F22" s="32" t="s">
        <v>22</v>
      </c>
      <c r="G22" s="90">
        <v>39086</v>
      </c>
      <c r="H22" s="64" t="s">
        <v>118</v>
      </c>
      <c r="I22" s="31">
        <v>244431.05</v>
      </c>
      <c r="J22" s="58">
        <v>1</v>
      </c>
      <c r="K22" s="32" t="s">
        <v>84</v>
      </c>
      <c r="L22" s="75" t="s">
        <v>801</v>
      </c>
      <c r="M22" s="32" t="s">
        <v>106</v>
      </c>
      <c r="N22" s="58">
        <v>1</v>
      </c>
      <c r="O22" s="66">
        <v>0</v>
      </c>
      <c r="P22" s="66">
        <v>0</v>
      </c>
      <c r="Q22" s="82" t="s">
        <v>135</v>
      </c>
      <c r="R22" s="44" t="s">
        <v>45</v>
      </c>
      <c r="S22" s="23"/>
    </row>
    <row r="23" spans="2:19" ht="51" x14ac:dyDescent="0.25">
      <c r="B23" s="70"/>
      <c r="C23" s="27"/>
      <c r="D23" s="28" t="s">
        <v>126</v>
      </c>
      <c r="E23" s="71" t="s">
        <v>127</v>
      </c>
      <c r="F23" s="91" t="s">
        <v>157</v>
      </c>
      <c r="G23" s="92">
        <v>44883</v>
      </c>
      <c r="H23" s="64" t="s">
        <v>128</v>
      </c>
      <c r="I23" s="31">
        <v>56400</v>
      </c>
      <c r="J23" s="58">
        <v>1</v>
      </c>
      <c r="K23" s="32" t="s">
        <v>803</v>
      </c>
      <c r="L23" s="78" t="s">
        <v>129</v>
      </c>
      <c r="M23" s="32" t="s">
        <v>105</v>
      </c>
      <c r="N23" s="58">
        <v>1</v>
      </c>
      <c r="O23" s="66">
        <v>0</v>
      </c>
      <c r="P23" s="66">
        <v>0</v>
      </c>
      <c r="Q23" s="53"/>
      <c r="R23" s="46"/>
    </row>
    <row r="24" spans="2:19" s="382" customFormat="1" ht="51" x14ac:dyDescent="0.25">
      <c r="B24" s="27"/>
      <c r="C24" s="68"/>
      <c r="D24" s="28" t="s">
        <v>693</v>
      </c>
      <c r="E24" s="32" t="s">
        <v>694</v>
      </c>
      <c r="F24" s="41"/>
      <c r="G24" s="90">
        <v>45127</v>
      </c>
      <c r="H24" s="64" t="s">
        <v>128</v>
      </c>
      <c r="I24" s="87">
        <v>70670</v>
      </c>
      <c r="J24" s="67">
        <v>1</v>
      </c>
      <c r="K24" s="32" t="s">
        <v>84</v>
      </c>
      <c r="L24" s="75" t="s">
        <v>6</v>
      </c>
      <c r="M24" s="32" t="s">
        <v>105</v>
      </c>
      <c r="N24" s="67">
        <v>1</v>
      </c>
      <c r="O24" s="66">
        <v>0</v>
      </c>
      <c r="P24" s="66">
        <v>0</v>
      </c>
      <c r="Q24" s="32"/>
      <c r="R24" s="86"/>
      <c r="S24" s="383"/>
    </row>
    <row r="25" spans="2:19" ht="25.5" x14ac:dyDescent="0.25">
      <c r="B25" s="398"/>
      <c r="C25" s="27"/>
      <c r="D25" s="83" t="s">
        <v>733</v>
      </c>
      <c r="E25" s="84" t="s">
        <v>734</v>
      </c>
      <c r="F25" s="32"/>
      <c r="G25" s="90">
        <v>45617</v>
      </c>
      <c r="H25" s="64" t="s">
        <v>124</v>
      </c>
      <c r="I25" s="85">
        <v>51345</v>
      </c>
      <c r="J25" s="58">
        <v>1</v>
      </c>
      <c r="K25" s="32" t="s">
        <v>23</v>
      </c>
      <c r="L25" s="75" t="s">
        <v>802</v>
      </c>
      <c r="M25" s="32" t="s">
        <v>105</v>
      </c>
      <c r="N25" s="58">
        <v>1</v>
      </c>
      <c r="O25" s="66">
        <v>0</v>
      </c>
      <c r="P25" s="66">
        <v>0</v>
      </c>
      <c r="Q25" s="82"/>
      <c r="R25" s="46"/>
    </row>
    <row r="26" spans="2:19" x14ac:dyDescent="0.25">
      <c r="B26" s="70"/>
      <c r="C26" s="29"/>
      <c r="D26" s="28"/>
      <c r="E26" s="30"/>
      <c r="F26" s="41" t="s">
        <v>82</v>
      </c>
      <c r="G26" s="41"/>
      <c r="H26" s="65"/>
      <c r="I26" s="35">
        <f>SUM(I22:I25)</f>
        <v>422846.05</v>
      </c>
      <c r="J26" s="35"/>
      <c r="K26" s="32"/>
      <c r="L26" s="79"/>
      <c r="M26" s="32"/>
      <c r="N26" s="35"/>
      <c r="O26" s="47"/>
      <c r="P26" s="32"/>
      <c r="Q26" s="53"/>
      <c r="R26" s="34"/>
    </row>
    <row r="27" spans="2:19" x14ac:dyDescent="0.2">
      <c r="B27" s="27" t="s">
        <v>39</v>
      </c>
      <c r="D27" s="28"/>
      <c r="E27" s="30"/>
      <c r="F27" s="32"/>
      <c r="G27" s="32"/>
      <c r="H27" s="64"/>
      <c r="I27" s="31"/>
      <c r="J27" s="31"/>
      <c r="K27" s="32"/>
      <c r="L27" s="75"/>
      <c r="M27" s="32"/>
      <c r="N27" s="31"/>
      <c r="O27" s="32"/>
      <c r="P27" s="32"/>
      <c r="Q27" s="53"/>
      <c r="R27" s="36"/>
    </row>
    <row r="28" spans="2:19" ht="25.5" x14ac:dyDescent="0.25">
      <c r="B28" s="70"/>
      <c r="C28" s="37"/>
      <c r="D28" s="83" t="str">
        <f>UPPER("12 seater T-shape Conference Table")</f>
        <v>12 SEATER T-SHAPE CONFERENCE TABLE</v>
      </c>
      <c r="E28" s="84" t="s">
        <v>145</v>
      </c>
      <c r="F28" s="32"/>
      <c r="G28" s="90">
        <v>44208</v>
      </c>
      <c r="H28" s="64" t="s">
        <v>128</v>
      </c>
      <c r="I28" s="31">
        <v>97500</v>
      </c>
      <c r="J28" s="58">
        <v>1</v>
      </c>
      <c r="K28" s="32" t="s">
        <v>750</v>
      </c>
      <c r="L28" s="75" t="s">
        <v>153</v>
      </c>
      <c r="M28" s="32" t="s">
        <v>105</v>
      </c>
      <c r="N28" s="58">
        <v>1</v>
      </c>
      <c r="O28" s="66">
        <v>0</v>
      </c>
      <c r="P28" s="66">
        <v>0</v>
      </c>
      <c r="Q28" s="53"/>
      <c r="R28" s="34"/>
    </row>
    <row r="29" spans="2:19" x14ac:dyDescent="0.25">
      <c r="B29" s="70"/>
      <c r="C29" s="37"/>
      <c r="D29" s="83" t="s">
        <v>689</v>
      </c>
      <c r="E29" s="84" t="s">
        <v>690</v>
      </c>
      <c r="F29" s="32"/>
      <c r="G29" s="90">
        <v>45093</v>
      </c>
      <c r="H29" s="64" t="s">
        <v>128</v>
      </c>
      <c r="I29" s="31">
        <v>62000</v>
      </c>
      <c r="J29" s="58">
        <v>1</v>
      </c>
      <c r="K29" s="32" t="s">
        <v>750</v>
      </c>
      <c r="L29" s="53" t="s">
        <v>799</v>
      </c>
      <c r="M29" s="32" t="s">
        <v>105</v>
      </c>
      <c r="N29" s="58">
        <v>1</v>
      </c>
      <c r="O29" s="66">
        <v>0</v>
      </c>
      <c r="P29" s="66">
        <v>0</v>
      </c>
      <c r="Q29" s="53"/>
      <c r="R29" s="34"/>
    </row>
    <row r="30" spans="2:19" x14ac:dyDescent="0.25">
      <c r="B30" s="70"/>
      <c r="C30" s="37"/>
      <c r="D30" s="83" t="s">
        <v>698</v>
      </c>
      <c r="E30" s="84" t="s">
        <v>695</v>
      </c>
      <c r="F30" s="32"/>
      <c r="G30" s="90">
        <v>45148</v>
      </c>
      <c r="H30" s="64" t="s">
        <v>128</v>
      </c>
      <c r="I30" s="31">
        <v>83650</v>
      </c>
      <c r="J30" s="58">
        <v>1</v>
      </c>
      <c r="K30" s="32" t="s">
        <v>750</v>
      </c>
      <c r="L30" s="75" t="s">
        <v>6</v>
      </c>
      <c r="M30" s="32" t="s">
        <v>105</v>
      </c>
      <c r="N30" s="58">
        <v>1</v>
      </c>
      <c r="O30" s="66">
        <v>0</v>
      </c>
      <c r="P30" s="66">
        <v>0</v>
      </c>
      <c r="Q30" s="32"/>
      <c r="R30" s="34"/>
    </row>
    <row r="31" spans="2:19" x14ac:dyDescent="0.25">
      <c r="B31" s="70"/>
      <c r="C31" s="37"/>
      <c r="D31" s="83" t="s">
        <v>737</v>
      </c>
      <c r="E31" s="84" t="s">
        <v>738</v>
      </c>
      <c r="F31" s="32"/>
      <c r="G31" s="90">
        <v>45588</v>
      </c>
      <c r="H31" s="64" t="s">
        <v>128</v>
      </c>
      <c r="I31" s="31">
        <v>59752</v>
      </c>
      <c r="J31" s="58">
        <v>1</v>
      </c>
      <c r="K31" s="32" t="s">
        <v>750</v>
      </c>
      <c r="L31" s="32" t="s">
        <v>804</v>
      </c>
      <c r="M31" s="32" t="s">
        <v>105</v>
      </c>
      <c r="N31" s="58">
        <v>1</v>
      </c>
      <c r="O31" s="66">
        <v>0</v>
      </c>
      <c r="P31" s="66">
        <v>0</v>
      </c>
      <c r="Q31" s="32"/>
      <c r="R31" s="34"/>
    </row>
    <row r="32" spans="2:19" ht="25.5" x14ac:dyDescent="0.25">
      <c r="B32" s="70"/>
      <c r="C32" s="37"/>
      <c r="D32" s="83" t="s">
        <v>740</v>
      </c>
      <c r="E32" s="84" t="s">
        <v>741</v>
      </c>
      <c r="F32" s="32"/>
      <c r="G32" s="90">
        <v>45588</v>
      </c>
      <c r="H32" s="64" t="s">
        <v>128</v>
      </c>
      <c r="I32" s="31">
        <v>65970</v>
      </c>
      <c r="J32" s="58">
        <v>1</v>
      </c>
      <c r="K32" s="32" t="s">
        <v>750</v>
      </c>
      <c r="L32" s="53" t="s">
        <v>799</v>
      </c>
      <c r="M32" s="32" t="s">
        <v>105</v>
      </c>
      <c r="N32" s="58">
        <v>1</v>
      </c>
      <c r="O32" s="66">
        <v>0</v>
      </c>
      <c r="P32" s="66">
        <v>0</v>
      </c>
      <c r="Q32" s="53"/>
      <c r="R32" s="34"/>
    </row>
    <row r="33" spans="1:19" x14ac:dyDescent="0.25">
      <c r="B33" s="70"/>
      <c r="C33" s="37"/>
      <c r="D33" s="28"/>
      <c r="E33" s="30"/>
      <c r="F33" s="41" t="s">
        <v>82</v>
      </c>
      <c r="G33" s="41"/>
      <c r="H33" s="65"/>
      <c r="I33" s="35">
        <f>SUM(I28:I32)</f>
        <v>368872</v>
      </c>
      <c r="J33" s="35"/>
      <c r="K33" s="32"/>
      <c r="L33" s="79"/>
      <c r="M33" s="32"/>
      <c r="N33" s="35"/>
      <c r="O33" s="47"/>
      <c r="P33" s="32"/>
      <c r="Q33" s="53"/>
      <c r="R33" s="34"/>
    </row>
    <row r="34" spans="1:19" x14ac:dyDescent="0.2">
      <c r="A34" s="69">
        <v>8</v>
      </c>
      <c r="B34" s="27" t="s">
        <v>143</v>
      </c>
      <c r="D34" s="28"/>
      <c r="E34" s="30"/>
      <c r="F34" s="32"/>
      <c r="G34" s="32"/>
      <c r="H34" s="64"/>
      <c r="I34" s="31"/>
      <c r="J34" s="31"/>
      <c r="K34" s="32"/>
      <c r="L34" s="75"/>
      <c r="M34" s="32"/>
      <c r="N34" s="31"/>
      <c r="O34" s="32"/>
      <c r="P34" s="32"/>
      <c r="Q34" s="53"/>
      <c r="R34" s="36"/>
    </row>
    <row r="35" spans="1:19" ht="25.5" x14ac:dyDescent="0.25">
      <c r="B35" s="70"/>
      <c r="C35" s="29">
        <v>38737</v>
      </c>
      <c r="D35" s="28" t="s">
        <v>66</v>
      </c>
      <c r="E35" s="30" t="s">
        <v>36</v>
      </c>
      <c r="F35" s="32"/>
      <c r="G35" s="90">
        <v>38737</v>
      </c>
      <c r="H35" s="64" t="s">
        <v>124</v>
      </c>
      <c r="I35" s="31">
        <v>848000</v>
      </c>
      <c r="J35" s="58">
        <v>1</v>
      </c>
      <c r="K35" s="32" t="s">
        <v>125</v>
      </c>
      <c r="L35" s="75" t="s">
        <v>6</v>
      </c>
      <c r="M35" s="32" t="s">
        <v>105</v>
      </c>
      <c r="N35" s="58">
        <v>1</v>
      </c>
      <c r="O35" s="66">
        <v>0</v>
      </c>
      <c r="P35" s="66">
        <v>0</v>
      </c>
      <c r="Q35" s="53"/>
      <c r="R35" s="34" t="s">
        <v>51</v>
      </c>
    </row>
    <row r="36" spans="1:19" ht="38.25" x14ac:dyDescent="0.25">
      <c r="B36" s="398"/>
      <c r="C36" s="29">
        <v>42636</v>
      </c>
      <c r="D36" s="28" t="s">
        <v>37</v>
      </c>
      <c r="E36" s="30" t="s">
        <v>38</v>
      </c>
      <c r="F36" s="32"/>
      <c r="G36" s="90">
        <v>42636</v>
      </c>
      <c r="H36" s="64" t="s">
        <v>124</v>
      </c>
      <c r="I36" s="31">
        <v>1180000</v>
      </c>
      <c r="J36" s="58">
        <v>1</v>
      </c>
      <c r="K36" s="32" t="s">
        <v>75</v>
      </c>
      <c r="L36" s="75" t="s">
        <v>6</v>
      </c>
      <c r="M36" s="32" t="s">
        <v>105</v>
      </c>
      <c r="N36" s="58">
        <v>1</v>
      </c>
      <c r="O36" s="66">
        <v>0</v>
      </c>
      <c r="P36" s="66">
        <v>0</v>
      </c>
      <c r="Q36" s="32"/>
      <c r="R36" s="34" t="s">
        <v>52</v>
      </c>
    </row>
    <row r="37" spans="1:19" s="382" customFormat="1" ht="38.25" x14ac:dyDescent="0.2">
      <c r="B37" s="384"/>
      <c r="C37" s="39"/>
      <c r="D37" s="28" t="s">
        <v>122</v>
      </c>
      <c r="E37" s="30" t="s">
        <v>123</v>
      </c>
      <c r="F37" s="38"/>
      <c r="G37" s="90">
        <v>44439</v>
      </c>
      <c r="H37" s="64" t="s">
        <v>124</v>
      </c>
      <c r="I37" s="31">
        <v>1397400</v>
      </c>
      <c r="J37" s="67">
        <v>1</v>
      </c>
      <c r="K37" s="32" t="s">
        <v>74</v>
      </c>
      <c r="L37" s="75" t="s">
        <v>6</v>
      </c>
      <c r="M37" s="32" t="s">
        <v>105</v>
      </c>
      <c r="N37" s="58">
        <v>1</v>
      </c>
      <c r="O37" s="66">
        <v>0</v>
      </c>
      <c r="P37" s="66">
        <v>0</v>
      </c>
      <c r="Q37" s="53"/>
      <c r="R37" s="42"/>
      <c r="S37" s="383"/>
    </row>
    <row r="38" spans="1:19" s="382" customFormat="1" x14ac:dyDescent="0.25">
      <c r="B38" s="384"/>
      <c r="C38" s="68"/>
      <c r="D38" s="28"/>
      <c r="E38" s="30"/>
      <c r="F38" s="41" t="s">
        <v>82</v>
      </c>
      <c r="G38" s="32"/>
      <c r="H38" s="64"/>
      <c r="I38" s="35">
        <f>SUM(I35:I37)</f>
        <v>3425400</v>
      </c>
      <c r="J38" s="67"/>
      <c r="K38" s="32"/>
      <c r="L38" s="75"/>
      <c r="M38" s="32"/>
      <c r="N38" s="58"/>
      <c r="O38" s="41"/>
      <c r="P38" s="41"/>
      <c r="Q38" s="53"/>
      <c r="R38" s="42"/>
      <c r="S38" s="383"/>
    </row>
    <row r="39" spans="1:19" x14ac:dyDescent="0.2">
      <c r="B39" s="27" t="s">
        <v>138</v>
      </c>
      <c r="D39" s="28"/>
      <c r="E39" s="30"/>
      <c r="F39" s="32"/>
      <c r="G39" s="32"/>
      <c r="H39" s="64"/>
      <c r="I39" s="31"/>
      <c r="J39" s="31"/>
      <c r="K39" s="32"/>
      <c r="L39" s="75"/>
      <c r="M39" s="32"/>
      <c r="N39" s="31"/>
      <c r="O39" s="66">
        <v>0</v>
      </c>
      <c r="P39" s="66">
        <v>0</v>
      </c>
      <c r="Q39" s="32"/>
      <c r="R39" s="36"/>
    </row>
    <row r="40" spans="1:19" ht="38.25" x14ac:dyDescent="0.25">
      <c r="B40" s="398"/>
      <c r="C40" s="37" t="s">
        <v>76</v>
      </c>
      <c r="D40" s="28" t="s">
        <v>9</v>
      </c>
      <c r="E40" s="30" t="s">
        <v>10</v>
      </c>
      <c r="F40" s="32">
        <v>2486201743</v>
      </c>
      <c r="G40" s="90">
        <v>40919</v>
      </c>
      <c r="H40" s="64" t="s">
        <v>128</v>
      </c>
      <c r="I40" s="31">
        <v>55000</v>
      </c>
      <c r="J40" s="58">
        <v>1</v>
      </c>
      <c r="K40" s="32" t="s">
        <v>84</v>
      </c>
      <c r="L40" s="75" t="s">
        <v>801</v>
      </c>
      <c r="M40" s="32" t="s">
        <v>106</v>
      </c>
      <c r="N40" s="58">
        <v>1</v>
      </c>
      <c r="O40" s="66">
        <v>0</v>
      </c>
      <c r="P40" s="66">
        <v>0</v>
      </c>
      <c r="Q40" s="53" t="s">
        <v>699</v>
      </c>
      <c r="R40" s="34" t="s">
        <v>41</v>
      </c>
    </row>
    <row r="41" spans="1:19" ht="25.5" x14ac:dyDescent="0.25">
      <c r="B41" s="70"/>
      <c r="C41" s="29">
        <v>41269</v>
      </c>
      <c r="D41" s="28" t="s">
        <v>11</v>
      </c>
      <c r="E41" s="30" t="s">
        <v>12</v>
      </c>
      <c r="F41" s="32" t="s">
        <v>13</v>
      </c>
      <c r="G41" s="90">
        <v>41269</v>
      </c>
      <c r="H41" s="64" t="s">
        <v>128</v>
      </c>
      <c r="I41" s="31">
        <v>81600</v>
      </c>
      <c r="J41" s="58">
        <v>1</v>
      </c>
      <c r="K41" s="32" t="s">
        <v>84</v>
      </c>
      <c r="L41" s="75" t="s">
        <v>801</v>
      </c>
      <c r="M41" s="32" t="s">
        <v>106</v>
      </c>
      <c r="N41" s="58">
        <v>1</v>
      </c>
      <c r="O41" s="66">
        <v>0</v>
      </c>
      <c r="P41" s="66">
        <v>0</v>
      </c>
      <c r="Q41" s="53" t="s">
        <v>699</v>
      </c>
      <c r="R41" s="34" t="s">
        <v>42</v>
      </c>
    </row>
    <row r="42" spans="1:19" ht="25.5" x14ac:dyDescent="0.25">
      <c r="B42" s="70"/>
      <c r="C42" s="29">
        <v>41269</v>
      </c>
      <c r="D42" s="28" t="s">
        <v>11</v>
      </c>
      <c r="E42" s="30" t="s">
        <v>15</v>
      </c>
      <c r="F42" s="32" t="s">
        <v>16</v>
      </c>
      <c r="G42" s="90">
        <v>41269</v>
      </c>
      <c r="H42" s="64" t="s">
        <v>128</v>
      </c>
      <c r="I42" s="31">
        <v>81600</v>
      </c>
      <c r="J42" s="58">
        <v>1</v>
      </c>
      <c r="K42" s="32" t="s">
        <v>84</v>
      </c>
      <c r="L42" s="75" t="s">
        <v>801</v>
      </c>
      <c r="M42" s="32" t="s">
        <v>106</v>
      </c>
      <c r="N42" s="58">
        <v>1</v>
      </c>
      <c r="O42" s="66">
        <v>0</v>
      </c>
      <c r="P42" s="66">
        <v>0</v>
      </c>
      <c r="Q42" s="53" t="s">
        <v>699</v>
      </c>
      <c r="R42" s="34" t="s">
        <v>43</v>
      </c>
    </row>
    <row r="43" spans="1:19" ht="25.5" x14ac:dyDescent="0.25">
      <c r="B43" s="398"/>
      <c r="C43" s="29">
        <v>42718</v>
      </c>
      <c r="D43" s="28" t="s">
        <v>17</v>
      </c>
      <c r="E43" s="30" t="s">
        <v>18</v>
      </c>
      <c r="F43" s="32"/>
      <c r="G43" s="90">
        <v>42718</v>
      </c>
      <c r="H43" s="64" t="s">
        <v>128</v>
      </c>
      <c r="I43" s="31">
        <v>68000</v>
      </c>
      <c r="J43" s="58">
        <v>1</v>
      </c>
      <c r="K43" s="32" t="s">
        <v>73</v>
      </c>
      <c r="L43" s="75" t="s">
        <v>797</v>
      </c>
      <c r="M43" s="32" t="s">
        <v>105</v>
      </c>
      <c r="N43" s="58">
        <v>1</v>
      </c>
      <c r="O43" s="66">
        <v>0</v>
      </c>
      <c r="P43" s="66">
        <v>0</v>
      </c>
      <c r="Q43" s="53"/>
      <c r="R43" s="34" t="s">
        <v>44</v>
      </c>
    </row>
    <row r="44" spans="1:19" s="20" customFormat="1" ht="25.5" x14ac:dyDescent="0.2">
      <c r="B44" s="55"/>
      <c r="C44" s="29"/>
      <c r="D44" s="334" t="s">
        <v>139</v>
      </c>
      <c r="E44" s="32" t="s">
        <v>140</v>
      </c>
      <c r="F44" s="32"/>
      <c r="G44" s="90">
        <v>44656</v>
      </c>
      <c r="H44" s="64" t="s">
        <v>128</v>
      </c>
      <c r="I44" s="89">
        <v>106000</v>
      </c>
      <c r="J44" s="58">
        <v>1</v>
      </c>
      <c r="K44" s="32" t="s">
        <v>750</v>
      </c>
      <c r="L44" s="75" t="s">
        <v>141</v>
      </c>
      <c r="M44" s="32" t="s">
        <v>105</v>
      </c>
      <c r="N44" s="58">
        <v>1</v>
      </c>
      <c r="O44" s="66">
        <v>0</v>
      </c>
      <c r="P44" s="66">
        <v>0</v>
      </c>
      <c r="Q44" s="53" t="s">
        <v>700</v>
      </c>
      <c r="R44" s="34"/>
      <c r="S44" s="23"/>
    </row>
    <row r="45" spans="1:19" s="20" customFormat="1" ht="25.5" x14ac:dyDescent="0.2">
      <c r="B45" s="55"/>
      <c r="C45" s="29"/>
      <c r="D45" s="334" t="s">
        <v>691</v>
      </c>
      <c r="E45" s="32" t="s">
        <v>692</v>
      </c>
      <c r="F45" s="32"/>
      <c r="G45" s="90">
        <v>45106</v>
      </c>
      <c r="H45" s="64" t="s">
        <v>128</v>
      </c>
      <c r="I45" s="89">
        <v>106610</v>
      </c>
      <c r="J45" s="58">
        <v>1</v>
      </c>
      <c r="K45" s="32" t="s">
        <v>750</v>
      </c>
      <c r="L45" s="75" t="s">
        <v>141</v>
      </c>
      <c r="M45" s="32" t="s">
        <v>105</v>
      </c>
      <c r="N45" s="58">
        <v>1</v>
      </c>
      <c r="O45" s="66">
        <v>0</v>
      </c>
      <c r="P45" s="66">
        <v>0</v>
      </c>
      <c r="Q45" s="53" t="s">
        <v>700</v>
      </c>
      <c r="R45" s="34"/>
      <c r="S45" s="23"/>
    </row>
    <row r="46" spans="1:19" s="20" customFormat="1" ht="38.25" x14ac:dyDescent="0.2">
      <c r="B46" s="55"/>
      <c r="C46" s="29"/>
      <c r="D46" s="334" t="s">
        <v>691</v>
      </c>
      <c r="E46" s="32" t="s">
        <v>732</v>
      </c>
      <c r="F46" s="91" t="s">
        <v>794</v>
      </c>
      <c r="G46" s="90">
        <v>45587</v>
      </c>
      <c r="H46" s="64" t="s">
        <v>128</v>
      </c>
      <c r="I46" s="89">
        <v>104140</v>
      </c>
      <c r="J46" s="58">
        <v>1</v>
      </c>
      <c r="K46" s="32" t="s">
        <v>750</v>
      </c>
      <c r="L46" s="53" t="s">
        <v>799</v>
      </c>
      <c r="M46" s="32" t="s">
        <v>105</v>
      </c>
      <c r="N46" s="58">
        <v>1</v>
      </c>
      <c r="O46" s="66">
        <v>0</v>
      </c>
      <c r="P46" s="66">
        <v>0</v>
      </c>
      <c r="Q46" s="53"/>
      <c r="R46" s="34"/>
      <c r="S46" s="23"/>
    </row>
    <row r="47" spans="1:19" ht="38.25" x14ac:dyDescent="0.2">
      <c r="B47" s="70"/>
      <c r="C47" s="29"/>
      <c r="D47" s="334" t="s">
        <v>691</v>
      </c>
      <c r="E47" s="32" t="s">
        <v>736</v>
      </c>
      <c r="F47" s="91" t="s">
        <v>795</v>
      </c>
      <c r="G47" s="90">
        <v>45636</v>
      </c>
      <c r="H47" s="64" t="s">
        <v>128</v>
      </c>
      <c r="I47" s="89">
        <v>105500</v>
      </c>
      <c r="J47" s="58">
        <v>1</v>
      </c>
      <c r="K47" s="32" t="s">
        <v>750</v>
      </c>
      <c r="L47" s="53" t="s">
        <v>799</v>
      </c>
      <c r="M47" s="32" t="s">
        <v>105</v>
      </c>
      <c r="N47" s="58">
        <v>1</v>
      </c>
      <c r="O47" s="66">
        <v>0</v>
      </c>
      <c r="P47" s="66">
        <v>0</v>
      </c>
      <c r="Q47" s="53"/>
      <c r="R47" s="34"/>
    </row>
    <row r="48" spans="1:19" ht="25.5" x14ac:dyDescent="0.2">
      <c r="B48" s="70"/>
      <c r="C48" s="29"/>
      <c r="D48" s="334" t="s">
        <v>791</v>
      </c>
      <c r="E48" s="32" t="s">
        <v>792</v>
      </c>
      <c r="F48" s="32" t="s">
        <v>793</v>
      </c>
      <c r="G48" s="90">
        <v>45807</v>
      </c>
      <c r="H48" s="64" t="s">
        <v>124</v>
      </c>
      <c r="I48" s="89">
        <v>57288</v>
      </c>
      <c r="J48" s="58">
        <v>1</v>
      </c>
      <c r="K48" s="32" t="s">
        <v>750</v>
      </c>
      <c r="L48" s="53" t="s">
        <v>799</v>
      </c>
      <c r="M48" s="32" t="s">
        <v>105</v>
      </c>
      <c r="N48" s="58">
        <v>1</v>
      </c>
      <c r="O48" s="66">
        <v>0</v>
      </c>
      <c r="P48" s="66">
        <v>0</v>
      </c>
      <c r="Q48" s="53"/>
      <c r="R48" s="34"/>
    </row>
    <row r="49" spans="1:19" s="382" customFormat="1" x14ac:dyDescent="0.25">
      <c r="B49" s="384"/>
      <c r="C49" s="39"/>
      <c r="D49" s="40"/>
      <c r="E49" s="60"/>
      <c r="F49" s="41" t="s">
        <v>82</v>
      </c>
      <c r="G49" s="41"/>
      <c r="H49" s="64"/>
      <c r="I49" s="35">
        <f>SUM(I40:I48)</f>
        <v>765738</v>
      </c>
      <c r="J49" s="35"/>
      <c r="K49" s="41"/>
      <c r="L49" s="76"/>
      <c r="M49" s="41"/>
      <c r="N49" s="35"/>
      <c r="O49" s="41"/>
      <c r="P49" s="41"/>
      <c r="Q49" s="32"/>
      <c r="R49" s="42"/>
      <c r="S49" s="383"/>
    </row>
    <row r="50" spans="1:19" x14ac:dyDescent="0.2">
      <c r="B50" s="27" t="s">
        <v>144</v>
      </c>
      <c r="D50" s="28"/>
      <c r="E50" s="30"/>
      <c r="F50" s="32"/>
      <c r="G50" s="32"/>
      <c r="H50" s="64"/>
      <c r="I50" s="31"/>
      <c r="J50" s="31"/>
      <c r="K50" s="32"/>
      <c r="L50" s="75"/>
      <c r="M50" s="32"/>
      <c r="N50" s="31"/>
      <c r="O50" s="32"/>
      <c r="P50" s="32"/>
      <c r="Q50" s="53"/>
      <c r="R50" s="36"/>
    </row>
    <row r="51" spans="1:19" ht="38.25" x14ac:dyDescent="0.25">
      <c r="B51" s="398"/>
      <c r="C51" s="37" t="s">
        <v>78</v>
      </c>
      <c r="D51" s="28" t="s">
        <v>24</v>
      </c>
      <c r="E51" s="30" t="s">
        <v>25</v>
      </c>
      <c r="F51" s="32">
        <v>1227070326</v>
      </c>
      <c r="G51" s="90">
        <v>38952</v>
      </c>
      <c r="H51" s="64" t="s">
        <v>118</v>
      </c>
      <c r="I51" s="31">
        <v>80590</v>
      </c>
      <c r="J51" s="58">
        <v>1</v>
      </c>
      <c r="K51" s="32" t="s">
        <v>73</v>
      </c>
      <c r="L51" s="75" t="s">
        <v>797</v>
      </c>
      <c r="M51" s="32" t="s">
        <v>105</v>
      </c>
      <c r="N51" s="58">
        <v>1</v>
      </c>
      <c r="O51" s="66">
        <v>0</v>
      </c>
      <c r="P51" s="66">
        <v>0</v>
      </c>
      <c r="Q51" s="53"/>
      <c r="R51" s="34" t="s">
        <v>46</v>
      </c>
    </row>
    <row r="52" spans="1:19" ht="38.25" x14ac:dyDescent="0.25">
      <c r="B52" s="398"/>
      <c r="C52" s="37" t="s">
        <v>79</v>
      </c>
      <c r="D52" s="28" t="s">
        <v>26</v>
      </c>
      <c r="E52" s="30" t="s">
        <v>27</v>
      </c>
      <c r="F52" s="32" t="s">
        <v>28</v>
      </c>
      <c r="G52" s="90">
        <v>39352</v>
      </c>
      <c r="H52" s="64" t="s">
        <v>118</v>
      </c>
      <c r="I52" s="31">
        <v>55000</v>
      </c>
      <c r="J52" s="58">
        <v>1</v>
      </c>
      <c r="K52" s="32" t="s">
        <v>73</v>
      </c>
      <c r="L52" s="75" t="s">
        <v>797</v>
      </c>
      <c r="M52" s="32" t="s">
        <v>105</v>
      </c>
      <c r="N52" s="58">
        <v>1</v>
      </c>
      <c r="O52" s="66">
        <v>0</v>
      </c>
      <c r="P52" s="66">
        <v>0</v>
      </c>
      <c r="Q52" s="53"/>
      <c r="R52" s="34" t="s">
        <v>47</v>
      </c>
    </row>
    <row r="53" spans="1:19" ht="25.5" x14ac:dyDescent="0.25">
      <c r="B53" s="398"/>
      <c r="C53" s="37" t="s">
        <v>80</v>
      </c>
      <c r="D53" s="28" t="s">
        <v>29</v>
      </c>
      <c r="E53" s="30" t="s">
        <v>30</v>
      </c>
      <c r="F53" s="32">
        <v>10050233</v>
      </c>
      <c r="G53" s="90">
        <v>40595</v>
      </c>
      <c r="H53" s="64" t="s">
        <v>118</v>
      </c>
      <c r="I53" s="31">
        <v>299500</v>
      </c>
      <c r="J53" s="58">
        <v>1</v>
      </c>
      <c r="K53" s="32" t="s">
        <v>73</v>
      </c>
      <c r="L53" s="75" t="s">
        <v>797</v>
      </c>
      <c r="M53" s="32" t="s">
        <v>105</v>
      </c>
      <c r="N53" s="58">
        <v>1</v>
      </c>
      <c r="O53" s="66">
        <v>0</v>
      </c>
      <c r="P53" s="66">
        <v>0</v>
      </c>
      <c r="Q53" s="53"/>
      <c r="R53" s="34" t="s">
        <v>48</v>
      </c>
    </row>
    <row r="54" spans="1:19" ht="25.5" x14ac:dyDescent="0.25">
      <c r="B54" s="398"/>
      <c r="C54" s="37" t="s">
        <v>81</v>
      </c>
      <c r="D54" s="28" t="s">
        <v>31</v>
      </c>
      <c r="E54" s="30" t="s">
        <v>32</v>
      </c>
      <c r="F54" s="32"/>
      <c r="G54" s="90">
        <v>42857</v>
      </c>
      <c r="H54" s="64" t="s">
        <v>118</v>
      </c>
      <c r="I54" s="31">
        <v>63930</v>
      </c>
      <c r="J54" s="58">
        <v>1</v>
      </c>
      <c r="K54" s="32" t="s">
        <v>73</v>
      </c>
      <c r="L54" s="75" t="s">
        <v>797</v>
      </c>
      <c r="M54" s="32" t="s">
        <v>105</v>
      </c>
      <c r="N54" s="58">
        <v>1</v>
      </c>
      <c r="O54" s="66">
        <v>0</v>
      </c>
      <c r="P54" s="66">
        <v>0</v>
      </c>
      <c r="Q54" s="53"/>
      <c r="R54" s="34" t="s">
        <v>49</v>
      </c>
    </row>
    <row r="55" spans="1:19" ht="25.5" x14ac:dyDescent="0.25">
      <c r="A55" s="480"/>
      <c r="B55" s="398"/>
      <c r="C55" s="29">
        <v>41591</v>
      </c>
      <c r="D55" s="28" t="s">
        <v>33</v>
      </c>
      <c r="E55" s="30" t="s">
        <v>34</v>
      </c>
      <c r="F55" s="32" t="s">
        <v>35</v>
      </c>
      <c r="G55" s="90">
        <v>41591</v>
      </c>
      <c r="H55" s="64" t="s">
        <v>128</v>
      </c>
      <c r="I55" s="31">
        <v>248000</v>
      </c>
      <c r="J55" s="58">
        <v>1</v>
      </c>
      <c r="K55" s="32" t="s">
        <v>73</v>
      </c>
      <c r="L55" s="75" t="s">
        <v>797</v>
      </c>
      <c r="M55" s="32" t="s">
        <v>105</v>
      </c>
      <c r="N55" s="58">
        <v>1</v>
      </c>
      <c r="O55" s="66">
        <v>0</v>
      </c>
      <c r="P55" s="66">
        <v>0</v>
      </c>
      <c r="Q55" s="32"/>
      <c r="R55" s="34" t="s">
        <v>50</v>
      </c>
    </row>
    <row r="56" spans="1:19" x14ac:dyDescent="0.25">
      <c r="A56" s="394"/>
      <c r="B56" s="398"/>
      <c r="C56" s="29" t="s">
        <v>87</v>
      </c>
      <c r="D56" s="28" t="s">
        <v>113</v>
      </c>
      <c r="E56" s="30" t="s">
        <v>88</v>
      </c>
      <c r="F56" s="32" t="s">
        <v>89</v>
      </c>
      <c r="G56" s="92">
        <v>44421</v>
      </c>
      <c r="H56" s="64" t="s">
        <v>128</v>
      </c>
      <c r="I56" s="31">
        <v>471744</v>
      </c>
      <c r="J56" s="58">
        <v>1</v>
      </c>
      <c r="K56" s="32" t="s">
        <v>73</v>
      </c>
      <c r="L56" s="75" t="s">
        <v>797</v>
      </c>
      <c r="M56" s="32" t="s">
        <v>105</v>
      </c>
      <c r="N56" s="58">
        <v>1</v>
      </c>
      <c r="O56" s="66">
        <v>0</v>
      </c>
      <c r="P56" s="66">
        <v>0</v>
      </c>
      <c r="Q56" s="32"/>
      <c r="R56" s="34"/>
    </row>
    <row r="57" spans="1:19" x14ac:dyDescent="0.25">
      <c r="B57" s="470"/>
      <c r="C57" s="471" t="s">
        <v>90</v>
      </c>
      <c r="D57" s="335" t="s">
        <v>112</v>
      </c>
      <c r="E57" s="472" t="s">
        <v>91</v>
      </c>
      <c r="F57" s="473" t="s">
        <v>92</v>
      </c>
      <c r="G57" s="474">
        <v>44524</v>
      </c>
      <c r="H57" s="475" t="s">
        <v>128</v>
      </c>
      <c r="I57" s="476">
        <v>285600</v>
      </c>
      <c r="J57" s="477">
        <v>1</v>
      </c>
      <c r="K57" s="473" t="s">
        <v>73</v>
      </c>
      <c r="L57" s="478" t="s">
        <v>797</v>
      </c>
      <c r="M57" s="473" t="s">
        <v>105</v>
      </c>
      <c r="N57" s="477">
        <v>1</v>
      </c>
      <c r="O57" s="479">
        <v>0</v>
      </c>
      <c r="P57" s="479">
        <v>0</v>
      </c>
      <c r="Q57" s="473"/>
      <c r="R57" s="34"/>
    </row>
    <row r="58" spans="1:19" ht="25.5" x14ac:dyDescent="0.25">
      <c r="B58" s="70"/>
      <c r="C58" s="29"/>
      <c r="D58" s="83" t="s">
        <v>739</v>
      </c>
      <c r="E58" s="30" t="s">
        <v>735</v>
      </c>
      <c r="F58" s="32"/>
      <c r="G58" s="388">
        <v>45642</v>
      </c>
      <c r="H58" s="64" t="s">
        <v>128</v>
      </c>
      <c r="I58" s="31">
        <v>55000</v>
      </c>
      <c r="J58" s="58">
        <v>1</v>
      </c>
      <c r="K58" s="32" t="s">
        <v>84</v>
      </c>
      <c r="L58" s="75"/>
      <c r="M58" s="32" t="s">
        <v>105</v>
      </c>
      <c r="N58" s="58">
        <v>1</v>
      </c>
      <c r="O58" s="66">
        <v>0</v>
      </c>
      <c r="P58" s="66">
        <v>0</v>
      </c>
      <c r="Q58" s="53"/>
      <c r="R58" s="34"/>
    </row>
    <row r="59" spans="1:19" ht="25.5" x14ac:dyDescent="0.25">
      <c r="B59" s="70"/>
      <c r="C59" s="29"/>
      <c r="D59" s="83" t="s">
        <v>768</v>
      </c>
      <c r="E59" s="30" t="s">
        <v>769</v>
      </c>
      <c r="F59" s="32" t="s">
        <v>779</v>
      </c>
      <c r="G59" s="388">
        <v>46014</v>
      </c>
      <c r="H59" s="64" t="s">
        <v>124</v>
      </c>
      <c r="I59" s="31">
        <v>112000</v>
      </c>
      <c r="J59" s="58">
        <v>1</v>
      </c>
      <c r="K59" s="32" t="s">
        <v>84</v>
      </c>
      <c r="L59" s="75" t="s">
        <v>797</v>
      </c>
      <c r="M59" s="32" t="s">
        <v>105</v>
      </c>
      <c r="N59" s="58">
        <v>1</v>
      </c>
      <c r="O59" s="66">
        <v>0</v>
      </c>
      <c r="P59" s="66">
        <v>0</v>
      </c>
      <c r="Q59" s="53"/>
      <c r="R59" s="34"/>
    </row>
    <row r="60" spans="1:19" ht="51" x14ac:dyDescent="0.25">
      <c r="B60" s="70"/>
      <c r="C60" s="29"/>
      <c r="D60" s="83" t="s">
        <v>790</v>
      </c>
      <c r="E60" s="30" t="s">
        <v>789</v>
      </c>
      <c r="F60" s="32"/>
      <c r="G60" s="388">
        <v>46014</v>
      </c>
      <c r="H60" s="64" t="s">
        <v>128</v>
      </c>
      <c r="I60" s="31">
        <v>0</v>
      </c>
      <c r="J60" s="58">
        <v>1</v>
      </c>
      <c r="K60" s="32" t="s">
        <v>23</v>
      </c>
      <c r="L60" s="75" t="s">
        <v>802</v>
      </c>
      <c r="M60" s="32" t="s">
        <v>105</v>
      </c>
      <c r="N60" s="58">
        <v>1</v>
      </c>
      <c r="O60" s="66">
        <v>0</v>
      </c>
      <c r="P60" s="66">
        <v>0</v>
      </c>
      <c r="Q60" s="53"/>
      <c r="R60" s="34"/>
    </row>
    <row r="61" spans="1:19" ht="25.5" x14ac:dyDescent="0.25">
      <c r="B61" s="70"/>
      <c r="C61" s="29"/>
      <c r="D61" s="83" t="s">
        <v>768</v>
      </c>
      <c r="E61" s="30" t="s">
        <v>770</v>
      </c>
      <c r="F61" s="32" t="s">
        <v>780</v>
      </c>
      <c r="G61" s="388">
        <v>46014</v>
      </c>
      <c r="H61" s="64" t="s">
        <v>124</v>
      </c>
      <c r="I61" s="31">
        <v>112000</v>
      </c>
      <c r="J61" s="58">
        <v>1</v>
      </c>
      <c r="K61" s="32" t="s">
        <v>84</v>
      </c>
      <c r="L61" s="75" t="s">
        <v>800</v>
      </c>
      <c r="M61" s="32" t="s">
        <v>105</v>
      </c>
      <c r="N61" s="58">
        <v>1</v>
      </c>
      <c r="O61" s="66">
        <v>0</v>
      </c>
      <c r="P61" s="66">
        <v>0</v>
      </c>
      <c r="Q61" s="53"/>
      <c r="R61" s="34"/>
    </row>
    <row r="62" spans="1:19" ht="25.5" x14ac:dyDescent="0.25">
      <c r="B62" s="70"/>
      <c r="C62" s="29"/>
      <c r="D62" s="83" t="s">
        <v>768</v>
      </c>
      <c r="E62" s="30" t="s">
        <v>771</v>
      </c>
      <c r="F62" s="32" t="s">
        <v>781</v>
      </c>
      <c r="G62" s="388">
        <v>46014</v>
      </c>
      <c r="H62" s="64" t="s">
        <v>124</v>
      </c>
      <c r="I62" s="31">
        <v>112000</v>
      </c>
      <c r="J62" s="58">
        <v>1</v>
      </c>
      <c r="K62" s="32" t="s">
        <v>84</v>
      </c>
      <c r="L62" s="75" t="s">
        <v>800</v>
      </c>
      <c r="M62" s="32" t="s">
        <v>105</v>
      </c>
      <c r="N62" s="58">
        <v>1</v>
      </c>
      <c r="O62" s="66">
        <v>0</v>
      </c>
      <c r="P62" s="66">
        <v>0</v>
      </c>
      <c r="Q62" s="53"/>
      <c r="R62" s="34"/>
    </row>
    <row r="63" spans="1:19" ht="25.5" x14ac:dyDescent="0.25">
      <c r="B63" s="70"/>
      <c r="C63" s="29"/>
      <c r="D63" s="83" t="s">
        <v>768</v>
      </c>
      <c r="E63" s="30" t="s">
        <v>772</v>
      </c>
      <c r="F63" s="32" t="s">
        <v>782</v>
      </c>
      <c r="G63" s="388">
        <v>46014</v>
      </c>
      <c r="H63" s="64" t="s">
        <v>124</v>
      </c>
      <c r="I63" s="31">
        <v>112000</v>
      </c>
      <c r="J63" s="58">
        <v>1</v>
      </c>
      <c r="K63" s="32" t="s">
        <v>84</v>
      </c>
      <c r="L63" s="75" t="s">
        <v>800</v>
      </c>
      <c r="M63" s="32" t="s">
        <v>105</v>
      </c>
      <c r="N63" s="58">
        <v>1</v>
      </c>
      <c r="O63" s="66">
        <v>0</v>
      </c>
      <c r="P63" s="66">
        <v>0</v>
      </c>
      <c r="Q63" s="53"/>
      <c r="R63" s="34"/>
    </row>
    <row r="64" spans="1:19" ht="25.5" x14ac:dyDescent="0.25">
      <c r="B64" s="70"/>
      <c r="C64" s="29"/>
      <c r="D64" s="83" t="s">
        <v>768</v>
      </c>
      <c r="E64" s="30" t="s">
        <v>773</v>
      </c>
      <c r="F64" s="32" t="s">
        <v>783</v>
      </c>
      <c r="G64" s="388">
        <v>46014</v>
      </c>
      <c r="H64" s="64" t="s">
        <v>124</v>
      </c>
      <c r="I64" s="31">
        <v>112000</v>
      </c>
      <c r="J64" s="58">
        <v>1</v>
      </c>
      <c r="K64" s="32" t="s">
        <v>84</v>
      </c>
      <c r="L64" s="75" t="s">
        <v>800</v>
      </c>
      <c r="M64" s="32" t="s">
        <v>105</v>
      </c>
      <c r="N64" s="58">
        <v>1</v>
      </c>
      <c r="O64" s="66">
        <v>0</v>
      </c>
      <c r="P64" s="66">
        <v>0</v>
      </c>
      <c r="Q64" s="53"/>
      <c r="R64" s="34"/>
    </row>
    <row r="65" spans="2:19" ht="25.5" x14ac:dyDescent="0.25">
      <c r="B65" s="70"/>
      <c r="C65" s="29"/>
      <c r="D65" s="83" t="s">
        <v>768</v>
      </c>
      <c r="E65" s="30" t="s">
        <v>774</v>
      </c>
      <c r="F65" s="32" t="s">
        <v>784</v>
      </c>
      <c r="G65" s="388">
        <v>46014</v>
      </c>
      <c r="H65" s="64" t="s">
        <v>124</v>
      </c>
      <c r="I65" s="31">
        <v>112000</v>
      </c>
      <c r="J65" s="58">
        <v>1</v>
      </c>
      <c r="K65" s="32" t="s">
        <v>84</v>
      </c>
      <c r="L65" s="75" t="s">
        <v>800</v>
      </c>
      <c r="M65" s="32" t="s">
        <v>105</v>
      </c>
      <c r="N65" s="58">
        <v>1</v>
      </c>
      <c r="O65" s="66">
        <v>0</v>
      </c>
      <c r="P65" s="66">
        <v>0</v>
      </c>
      <c r="Q65" s="53"/>
      <c r="R65" s="34"/>
    </row>
    <row r="66" spans="2:19" ht="25.5" x14ac:dyDescent="0.25">
      <c r="B66" s="70"/>
      <c r="C66" s="29"/>
      <c r="D66" s="83" t="s">
        <v>768</v>
      </c>
      <c r="E66" s="30" t="s">
        <v>775</v>
      </c>
      <c r="F66" s="32" t="s">
        <v>785</v>
      </c>
      <c r="G66" s="388">
        <v>46014</v>
      </c>
      <c r="H66" s="64" t="s">
        <v>124</v>
      </c>
      <c r="I66" s="31">
        <v>112000</v>
      </c>
      <c r="J66" s="58">
        <v>1</v>
      </c>
      <c r="K66" s="32" t="s">
        <v>84</v>
      </c>
      <c r="L66" s="75" t="s">
        <v>800</v>
      </c>
      <c r="M66" s="32" t="s">
        <v>105</v>
      </c>
      <c r="N66" s="58">
        <v>1</v>
      </c>
      <c r="O66" s="66">
        <v>0</v>
      </c>
      <c r="P66" s="66">
        <v>0</v>
      </c>
      <c r="Q66" s="53"/>
      <c r="R66" s="34"/>
    </row>
    <row r="67" spans="2:19" ht="25.5" x14ac:dyDescent="0.25">
      <c r="B67" s="70"/>
      <c r="C67" s="29"/>
      <c r="D67" s="83" t="s">
        <v>768</v>
      </c>
      <c r="E67" s="30" t="s">
        <v>776</v>
      </c>
      <c r="F67" s="32" t="s">
        <v>786</v>
      </c>
      <c r="G67" s="388">
        <v>46014</v>
      </c>
      <c r="H67" s="64" t="s">
        <v>124</v>
      </c>
      <c r="I67" s="31">
        <v>112000</v>
      </c>
      <c r="J67" s="58">
        <v>1</v>
      </c>
      <c r="K67" s="32" t="s">
        <v>84</v>
      </c>
      <c r="L67" s="75" t="s">
        <v>800</v>
      </c>
      <c r="M67" s="32" t="s">
        <v>105</v>
      </c>
      <c r="N67" s="58">
        <v>1</v>
      </c>
      <c r="O67" s="66">
        <v>0</v>
      </c>
      <c r="P67" s="66">
        <v>0</v>
      </c>
      <c r="Q67" s="53"/>
      <c r="R67" s="34"/>
    </row>
    <row r="68" spans="2:19" ht="25.5" x14ac:dyDescent="0.25">
      <c r="B68" s="70"/>
      <c r="C68" s="29"/>
      <c r="D68" s="83" t="s">
        <v>768</v>
      </c>
      <c r="E68" s="30" t="s">
        <v>777</v>
      </c>
      <c r="F68" s="32" t="s">
        <v>787</v>
      </c>
      <c r="G68" s="388">
        <v>46014</v>
      </c>
      <c r="H68" s="64" t="s">
        <v>124</v>
      </c>
      <c r="I68" s="31">
        <v>112000</v>
      </c>
      <c r="J68" s="58">
        <v>1</v>
      </c>
      <c r="K68" s="32" t="s">
        <v>84</v>
      </c>
      <c r="L68" s="75" t="s">
        <v>800</v>
      </c>
      <c r="M68" s="32" t="s">
        <v>105</v>
      </c>
      <c r="N68" s="58">
        <v>1</v>
      </c>
      <c r="O68" s="66">
        <v>0</v>
      </c>
      <c r="P68" s="66">
        <v>0</v>
      </c>
      <c r="Q68" s="53"/>
      <c r="R68" s="34"/>
    </row>
    <row r="69" spans="2:19" ht="25.5" x14ac:dyDescent="0.25">
      <c r="B69" s="70"/>
      <c r="C69" s="29"/>
      <c r="D69" s="83" t="s">
        <v>768</v>
      </c>
      <c r="E69" s="30" t="s">
        <v>778</v>
      </c>
      <c r="F69" s="32" t="s">
        <v>788</v>
      </c>
      <c r="G69" s="388">
        <v>46014</v>
      </c>
      <c r="H69" s="64" t="s">
        <v>124</v>
      </c>
      <c r="I69" s="31">
        <v>112000</v>
      </c>
      <c r="J69" s="58">
        <v>1</v>
      </c>
      <c r="K69" s="32" t="s">
        <v>84</v>
      </c>
      <c r="L69" s="75" t="s">
        <v>800</v>
      </c>
      <c r="M69" s="32" t="s">
        <v>105</v>
      </c>
      <c r="N69" s="58">
        <v>1</v>
      </c>
      <c r="O69" s="66">
        <v>0</v>
      </c>
      <c r="P69" s="66">
        <v>0</v>
      </c>
      <c r="Q69" s="53"/>
      <c r="R69" s="34"/>
    </row>
    <row r="70" spans="2:19" s="382" customFormat="1" x14ac:dyDescent="0.25">
      <c r="B70" s="384"/>
      <c r="C70" s="39"/>
      <c r="D70" s="83"/>
      <c r="E70" s="30"/>
      <c r="F70" s="41" t="s">
        <v>82</v>
      </c>
      <c r="G70" s="41"/>
      <c r="H70" s="65"/>
      <c r="I70" s="35">
        <f>SUM(I51:I69)</f>
        <v>2679364</v>
      </c>
      <c r="J70" s="35"/>
      <c r="K70" s="41"/>
      <c r="L70" s="77"/>
      <c r="M70" s="41"/>
      <c r="N70" s="35"/>
      <c r="O70" s="45"/>
      <c r="P70" s="41"/>
      <c r="Q70" s="53"/>
      <c r="R70" s="42"/>
      <c r="S70" s="383"/>
    </row>
    <row r="71" spans="2:19" x14ac:dyDescent="0.2">
      <c r="B71" s="27" t="s">
        <v>142</v>
      </c>
      <c r="D71" s="28"/>
      <c r="E71" s="30"/>
      <c r="F71" s="32"/>
      <c r="G71" s="32"/>
      <c r="H71" s="64"/>
      <c r="I71" s="31"/>
      <c r="J71" s="58"/>
      <c r="K71" s="32"/>
      <c r="L71" s="75"/>
      <c r="M71" s="32"/>
      <c r="N71" s="58"/>
      <c r="O71" s="66"/>
      <c r="P71" s="66"/>
      <c r="Q71" s="53"/>
      <c r="R71" s="36"/>
    </row>
    <row r="72" spans="2:19" x14ac:dyDescent="0.25">
      <c r="B72" s="398"/>
      <c r="C72" s="50" t="s">
        <v>93</v>
      </c>
      <c r="D72" s="51" t="str">
        <f>UPPER("Generator Set Kubota")</f>
        <v>GENERATOR SET KUBOTA</v>
      </c>
      <c r="E72" s="52" t="s">
        <v>95</v>
      </c>
      <c r="F72" s="53"/>
      <c r="G72" s="376">
        <v>41275</v>
      </c>
      <c r="H72" s="64" t="s">
        <v>128</v>
      </c>
      <c r="I72" s="54">
        <v>439700</v>
      </c>
      <c r="J72" s="58">
        <v>1</v>
      </c>
      <c r="K72" s="53" t="s">
        <v>23</v>
      </c>
      <c r="L72" s="80" t="s">
        <v>108</v>
      </c>
      <c r="M72" s="53" t="s">
        <v>106</v>
      </c>
      <c r="N72" s="58">
        <v>1</v>
      </c>
      <c r="O72" s="66">
        <v>0</v>
      </c>
      <c r="P72" s="66">
        <v>0</v>
      </c>
      <c r="Q72" s="53" t="s">
        <v>699</v>
      </c>
      <c r="R72" s="49"/>
    </row>
    <row r="73" spans="2:19" ht="25.5" x14ac:dyDescent="0.25">
      <c r="B73" s="398"/>
      <c r="C73" s="50"/>
      <c r="D73" s="51" t="s">
        <v>752</v>
      </c>
      <c r="E73" s="51" t="s">
        <v>753</v>
      </c>
      <c r="F73" s="53">
        <v>250201</v>
      </c>
      <c r="G73" s="376">
        <v>45973</v>
      </c>
      <c r="H73" s="64" t="s">
        <v>128</v>
      </c>
      <c r="I73" s="54">
        <v>87800</v>
      </c>
      <c r="J73" s="58">
        <v>1</v>
      </c>
      <c r="K73" s="32" t="s">
        <v>84</v>
      </c>
      <c r="L73" s="80" t="s">
        <v>798</v>
      </c>
      <c r="M73" s="32" t="s">
        <v>105</v>
      </c>
      <c r="N73" s="58">
        <v>1</v>
      </c>
      <c r="O73" s="66">
        <v>0</v>
      </c>
      <c r="P73" s="66">
        <v>0</v>
      </c>
      <c r="Q73" s="53"/>
      <c r="R73" s="49"/>
    </row>
    <row r="74" spans="2:19" ht="25.5" x14ac:dyDescent="0.25">
      <c r="B74" s="398"/>
      <c r="C74" s="50"/>
      <c r="D74" s="51" t="s">
        <v>752</v>
      </c>
      <c r="E74" s="51" t="s">
        <v>754</v>
      </c>
      <c r="F74" s="53">
        <v>250202</v>
      </c>
      <c r="G74" s="376">
        <v>45973</v>
      </c>
      <c r="H74" s="64" t="s">
        <v>128</v>
      </c>
      <c r="I74" s="54">
        <v>87800</v>
      </c>
      <c r="J74" s="58">
        <v>1</v>
      </c>
      <c r="K74" s="32" t="s">
        <v>84</v>
      </c>
      <c r="L74" s="80" t="s">
        <v>798</v>
      </c>
      <c r="M74" s="32" t="s">
        <v>105</v>
      </c>
      <c r="N74" s="58">
        <v>1</v>
      </c>
      <c r="O74" s="66">
        <v>0</v>
      </c>
      <c r="P74" s="66">
        <v>0</v>
      </c>
      <c r="Q74" s="53"/>
      <c r="R74" s="49"/>
    </row>
    <row r="75" spans="2:19" ht="25.5" x14ac:dyDescent="0.25">
      <c r="B75" s="398"/>
      <c r="C75" s="50"/>
      <c r="D75" s="51" t="s">
        <v>752</v>
      </c>
      <c r="E75" s="51" t="s">
        <v>755</v>
      </c>
      <c r="F75" s="53">
        <v>250203</v>
      </c>
      <c r="G75" s="376">
        <v>45973</v>
      </c>
      <c r="H75" s="64" t="s">
        <v>128</v>
      </c>
      <c r="I75" s="54">
        <v>87800</v>
      </c>
      <c r="J75" s="58">
        <v>1</v>
      </c>
      <c r="K75" s="32" t="s">
        <v>84</v>
      </c>
      <c r="L75" s="80" t="s">
        <v>798</v>
      </c>
      <c r="M75" s="32" t="s">
        <v>105</v>
      </c>
      <c r="N75" s="58">
        <v>1</v>
      </c>
      <c r="O75" s="66">
        <v>0</v>
      </c>
      <c r="P75" s="66">
        <v>0</v>
      </c>
      <c r="Q75" s="53"/>
      <c r="R75" s="49"/>
    </row>
    <row r="76" spans="2:19" ht="25.5" x14ac:dyDescent="0.25">
      <c r="B76" s="398"/>
      <c r="C76" s="50"/>
      <c r="D76" s="51" t="s">
        <v>752</v>
      </c>
      <c r="E76" s="51" t="s">
        <v>756</v>
      </c>
      <c r="F76" s="53">
        <v>250204</v>
      </c>
      <c r="G76" s="376">
        <v>45973</v>
      </c>
      <c r="H76" s="64" t="s">
        <v>128</v>
      </c>
      <c r="I76" s="54">
        <v>87800</v>
      </c>
      <c r="J76" s="58">
        <v>1</v>
      </c>
      <c r="K76" s="32" t="s">
        <v>84</v>
      </c>
      <c r="L76" s="80" t="s">
        <v>798</v>
      </c>
      <c r="M76" s="32" t="s">
        <v>105</v>
      </c>
      <c r="N76" s="58">
        <v>1</v>
      </c>
      <c r="O76" s="66">
        <v>0</v>
      </c>
      <c r="P76" s="66">
        <v>0</v>
      </c>
      <c r="Q76" s="53"/>
      <c r="R76" s="49"/>
    </row>
    <row r="77" spans="2:19" ht="25.5" x14ac:dyDescent="0.25">
      <c r="B77" s="398"/>
      <c r="C77" s="50"/>
      <c r="D77" s="51" t="s">
        <v>752</v>
      </c>
      <c r="E77" s="51" t="s">
        <v>757</v>
      </c>
      <c r="F77" s="53">
        <v>250205</v>
      </c>
      <c r="G77" s="376">
        <v>45973</v>
      </c>
      <c r="H77" s="64" t="s">
        <v>128</v>
      </c>
      <c r="I77" s="54">
        <v>87800</v>
      </c>
      <c r="J77" s="58">
        <v>1</v>
      </c>
      <c r="K77" s="32" t="s">
        <v>84</v>
      </c>
      <c r="L77" s="80" t="s">
        <v>798</v>
      </c>
      <c r="M77" s="32" t="s">
        <v>105</v>
      </c>
      <c r="N77" s="58">
        <v>1</v>
      </c>
      <c r="O77" s="66">
        <v>0</v>
      </c>
      <c r="P77" s="66">
        <v>0</v>
      </c>
      <c r="Q77" s="53"/>
      <c r="R77" s="49"/>
    </row>
    <row r="78" spans="2:19" ht="25.5" x14ac:dyDescent="0.25">
      <c r="B78" s="398"/>
      <c r="C78" s="50"/>
      <c r="D78" s="51" t="s">
        <v>752</v>
      </c>
      <c r="E78" s="51" t="s">
        <v>758</v>
      </c>
      <c r="F78" s="53">
        <v>250206</v>
      </c>
      <c r="G78" s="376">
        <v>45973</v>
      </c>
      <c r="H78" s="64" t="s">
        <v>128</v>
      </c>
      <c r="I78" s="54">
        <v>87800</v>
      </c>
      <c r="J78" s="58">
        <v>1</v>
      </c>
      <c r="K78" s="32" t="s">
        <v>84</v>
      </c>
      <c r="L78" s="80" t="s">
        <v>798</v>
      </c>
      <c r="M78" s="32" t="s">
        <v>105</v>
      </c>
      <c r="N78" s="58">
        <v>1</v>
      </c>
      <c r="O78" s="66">
        <v>0</v>
      </c>
      <c r="P78" s="66">
        <v>0</v>
      </c>
      <c r="Q78" s="53"/>
      <c r="R78" s="49"/>
    </row>
    <row r="79" spans="2:19" ht="25.5" x14ac:dyDescent="0.25">
      <c r="B79" s="398"/>
      <c r="C79" s="50"/>
      <c r="D79" s="51" t="s">
        <v>752</v>
      </c>
      <c r="E79" s="51" t="s">
        <v>759</v>
      </c>
      <c r="F79" s="53">
        <v>250207</v>
      </c>
      <c r="G79" s="376">
        <v>45973</v>
      </c>
      <c r="H79" s="64" t="s">
        <v>128</v>
      </c>
      <c r="I79" s="54">
        <v>87800</v>
      </c>
      <c r="J79" s="58">
        <v>1</v>
      </c>
      <c r="K79" s="32" t="s">
        <v>84</v>
      </c>
      <c r="L79" s="80" t="s">
        <v>798</v>
      </c>
      <c r="M79" s="32" t="s">
        <v>105</v>
      </c>
      <c r="N79" s="58">
        <v>1</v>
      </c>
      <c r="O79" s="66">
        <v>0</v>
      </c>
      <c r="P79" s="66">
        <v>0</v>
      </c>
      <c r="Q79" s="53"/>
      <c r="R79" s="49"/>
    </row>
    <row r="80" spans="2:19" ht="25.5" x14ac:dyDescent="0.25">
      <c r="B80" s="398"/>
      <c r="C80" s="50"/>
      <c r="D80" s="51" t="s">
        <v>752</v>
      </c>
      <c r="E80" s="51" t="s">
        <v>760</v>
      </c>
      <c r="F80" s="53">
        <v>250208</v>
      </c>
      <c r="G80" s="376">
        <v>45973</v>
      </c>
      <c r="H80" s="64" t="s">
        <v>128</v>
      </c>
      <c r="I80" s="54">
        <v>87800</v>
      </c>
      <c r="J80" s="58">
        <v>1</v>
      </c>
      <c r="K80" s="32" t="s">
        <v>84</v>
      </c>
      <c r="L80" s="80" t="s">
        <v>798</v>
      </c>
      <c r="M80" s="32" t="s">
        <v>105</v>
      </c>
      <c r="N80" s="58">
        <v>1</v>
      </c>
      <c r="O80" s="66">
        <v>0</v>
      </c>
      <c r="P80" s="66">
        <v>0</v>
      </c>
      <c r="Q80" s="53"/>
      <c r="R80" s="49"/>
    </row>
    <row r="81" spans="1:19" ht="25.5" x14ac:dyDescent="0.25">
      <c r="A81" s="480"/>
      <c r="B81" s="398"/>
      <c r="C81" s="50"/>
      <c r="D81" s="51" t="s">
        <v>752</v>
      </c>
      <c r="E81" s="51" t="s">
        <v>761</v>
      </c>
      <c r="F81" s="53">
        <v>250209</v>
      </c>
      <c r="G81" s="376">
        <v>45973</v>
      </c>
      <c r="H81" s="64" t="s">
        <v>128</v>
      </c>
      <c r="I81" s="54">
        <v>87800</v>
      </c>
      <c r="J81" s="58">
        <v>1</v>
      </c>
      <c r="K81" s="32" t="s">
        <v>84</v>
      </c>
      <c r="L81" s="80" t="s">
        <v>798</v>
      </c>
      <c r="M81" s="32" t="s">
        <v>105</v>
      </c>
      <c r="N81" s="58">
        <v>1</v>
      </c>
      <c r="O81" s="66">
        <v>0</v>
      </c>
      <c r="P81" s="66">
        <v>0</v>
      </c>
      <c r="Q81" s="53"/>
      <c r="R81" s="49"/>
    </row>
    <row r="82" spans="1:19" ht="25.5" x14ac:dyDescent="0.25">
      <c r="A82" s="394"/>
      <c r="B82" s="398"/>
      <c r="C82" s="37"/>
      <c r="D82" s="28" t="s">
        <v>752</v>
      </c>
      <c r="E82" s="28" t="s">
        <v>762</v>
      </c>
      <c r="F82" s="32">
        <v>250210</v>
      </c>
      <c r="G82" s="487">
        <v>45973</v>
      </c>
      <c r="H82" s="64" t="s">
        <v>128</v>
      </c>
      <c r="I82" s="31">
        <v>87800</v>
      </c>
      <c r="J82" s="58">
        <v>1</v>
      </c>
      <c r="K82" s="32" t="s">
        <v>84</v>
      </c>
      <c r="L82" s="75" t="s">
        <v>798</v>
      </c>
      <c r="M82" s="32" t="s">
        <v>105</v>
      </c>
      <c r="N82" s="58">
        <v>1</v>
      </c>
      <c r="O82" s="66">
        <v>0</v>
      </c>
      <c r="P82" s="66">
        <v>0</v>
      </c>
      <c r="Q82" s="32"/>
      <c r="R82" s="49"/>
    </row>
    <row r="83" spans="1:19" ht="25.5" x14ac:dyDescent="0.25">
      <c r="B83" s="470"/>
      <c r="C83" s="481"/>
      <c r="D83" s="482" t="s">
        <v>752</v>
      </c>
      <c r="E83" s="482" t="s">
        <v>763</v>
      </c>
      <c r="F83" s="483">
        <v>250301</v>
      </c>
      <c r="G83" s="484">
        <v>45973</v>
      </c>
      <c r="H83" s="475" t="s">
        <v>128</v>
      </c>
      <c r="I83" s="485">
        <v>87800</v>
      </c>
      <c r="J83" s="477">
        <v>1</v>
      </c>
      <c r="K83" s="473" t="s">
        <v>84</v>
      </c>
      <c r="L83" s="486" t="s">
        <v>798</v>
      </c>
      <c r="M83" s="473" t="s">
        <v>105</v>
      </c>
      <c r="N83" s="477">
        <v>1</v>
      </c>
      <c r="O83" s="479">
        <v>0</v>
      </c>
      <c r="P83" s="479">
        <v>0</v>
      </c>
      <c r="Q83" s="483"/>
      <c r="R83" s="49"/>
    </row>
    <row r="84" spans="1:19" ht="25.5" x14ac:dyDescent="0.25">
      <c r="B84" s="398"/>
      <c r="C84" s="50"/>
      <c r="D84" s="51" t="s">
        <v>752</v>
      </c>
      <c r="E84" s="51" t="s">
        <v>764</v>
      </c>
      <c r="F84" s="53">
        <v>250302</v>
      </c>
      <c r="G84" s="376">
        <v>45973</v>
      </c>
      <c r="H84" s="64" t="s">
        <v>128</v>
      </c>
      <c r="I84" s="54">
        <v>87800</v>
      </c>
      <c r="J84" s="58">
        <v>1</v>
      </c>
      <c r="K84" s="32" t="s">
        <v>84</v>
      </c>
      <c r="L84" s="80" t="s">
        <v>798</v>
      </c>
      <c r="M84" s="32" t="s">
        <v>105</v>
      </c>
      <c r="N84" s="58">
        <v>1</v>
      </c>
      <c r="O84" s="66">
        <v>0</v>
      </c>
      <c r="P84" s="66">
        <v>0</v>
      </c>
      <c r="Q84" s="53"/>
      <c r="R84" s="49"/>
    </row>
    <row r="85" spans="1:19" ht="25.5" x14ac:dyDescent="0.25">
      <c r="B85" s="398"/>
      <c r="C85" s="50"/>
      <c r="D85" s="51" t="s">
        <v>752</v>
      </c>
      <c r="E85" s="51" t="s">
        <v>765</v>
      </c>
      <c r="F85" s="53">
        <v>250303</v>
      </c>
      <c r="G85" s="376">
        <v>45973</v>
      </c>
      <c r="H85" s="64" t="s">
        <v>128</v>
      </c>
      <c r="I85" s="54">
        <v>87800</v>
      </c>
      <c r="J85" s="58">
        <v>1</v>
      </c>
      <c r="K85" s="32" t="s">
        <v>84</v>
      </c>
      <c r="L85" s="80" t="s">
        <v>798</v>
      </c>
      <c r="M85" s="32" t="s">
        <v>105</v>
      </c>
      <c r="N85" s="58">
        <v>1</v>
      </c>
      <c r="O85" s="66">
        <v>0</v>
      </c>
      <c r="P85" s="66">
        <v>0</v>
      </c>
      <c r="Q85" s="53"/>
      <c r="R85" s="49"/>
    </row>
    <row r="86" spans="1:19" ht="25.5" x14ac:dyDescent="0.25">
      <c r="B86" s="398"/>
      <c r="C86" s="50"/>
      <c r="D86" s="51" t="s">
        <v>752</v>
      </c>
      <c r="E86" s="51" t="s">
        <v>766</v>
      </c>
      <c r="F86" s="53">
        <v>250304</v>
      </c>
      <c r="G86" s="376">
        <v>45973</v>
      </c>
      <c r="H86" s="64" t="s">
        <v>128</v>
      </c>
      <c r="I86" s="54">
        <v>87800</v>
      </c>
      <c r="J86" s="58">
        <v>1</v>
      </c>
      <c r="K86" s="32" t="s">
        <v>84</v>
      </c>
      <c r="L86" s="80" t="s">
        <v>798</v>
      </c>
      <c r="M86" s="32" t="s">
        <v>105</v>
      </c>
      <c r="N86" s="58">
        <v>1</v>
      </c>
      <c r="O86" s="66">
        <v>0</v>
      </c>
      <c r="P86" s="66">
        <v>0</v>
      </c>
      <c r="Q86" s="53"/>
      <c r="R86" s="49"/>
    </row>
    <row r="87" spans="1:19" ht="25.5" x14ac:dyDescent="0.25">
      <c r="B87" s="398"/>
      <c r="C87" s="50"/>
      <c r="D87" s="51" t="s">
        <v>752</v>
      </c>
      <c r="E87" s="51" t="s">
        <v>767</v>
      </c>
      <c r="F87" s="53">
        <v>250305</v>
      </c>
      <c r="G87" s="376">
        <v>45973</v>
      </c>
      <c r="H87" s="64" t="s">
        <v>128</v>
      </c>
      <c r="I87" s="54">
        <v>87800</v>
      </c>
      <c r="J87" s="58">
        <v>1</v>
      </c>
      <c r="K87" s="32" t="s">
        <v>84</v>
      </c>
      <c r="L87" s="80" t="s">
        <v>798</v>
      </c>
      <c r="M87" s="32" t="s">
        <v>105</v>
      </c>
      <c r="N87" s="58">
        <v>1</v>
      </c>
      <c r="O87" s="66">
        <v>0</v>
      </c>
      <c r="P87" s="66">
        <v>0</v>
      </c>
      <c r="Q87" s="53"/>
      <c r="R87" s="49"/>
    </row>
    <row r="88" spans="1:19" x14ac:dyDescent="0.2">
      <c r="A88" s="385"/>
      <c r="B88" s="70"/>
      <c r="C88" s="56"/>
      <c r="D88" s="386"/>
      <c r="E88" s="387"/>
      <c r="F88" s="41" t="s">
        <v>82</v>
      </c>
      <c r="G88" s="41"/>
      <c r="H88" s="65"/>
      <c r="I88" s="389">
        <f>SUM(I72:I87)</f>
        <v>1756700</v>
      </c>
      <c r="J88" s="389"/>
      <c r="K88" s="390"/>
      <c r="L88" s="81"/>
      <c r="M88" s="57"/>
      <c r="N88" s="389"/>
      <c r="O88" s="32"/>
      <c r="P88" s="390"/>
      <c r="Q88" s="390"/>
    </row>
    <row r="89" spans="1:19" x14ac:dyDescent="0.2">
      <c r="I89" s="379">
        <f>+I13+I20+I26+I33+I38+I49+I70+I88</f>
        <v>13237061.02</v>
      </c>
    </row>
    <row r="90" spans="1:19" s="20" customFormat="1" hidden="1" x14ac:dyDescent="0.2">
      <c r="E90" s="23"/>
      <c r="F90" s="22"/>
      <c r="G90" s="22"/>
      <c r="H90" s="62"/>
      <c r="I90" s="24"/>
      <c r="J90" s="24"/>
      <c r="K90" s="22"/>
      <c r="L90" s="21"/>
      <c r="M90" s="22"/>
      <c r="N90" s="24"/>
      <c r="O90" s="22"/>
      <c r="P90" s="22"/>
      <c r="Q90" s="22"/>
      <c r="S90" s="23"/>
    </row>
    <row r="91" spans="1:19" ht="14.25" x14ac:dyDescent="0.2">
      <c r="D91" s="377" t="s">
        <v>677</v>
      </c>
      <c r="G91" s="377" t="s">
        <v>679</v>
      </c>
      <c r="L91" s="22"/>
      <c r="M91" s="20" t="s">
        <v>680</v>
      </c>
      <c r="N91" s="392"/>
      <c r="O91" s="69"/>
    </row>
    <row r="92" spans="1:19" ht="14.25" x14ac:dyDescent="0.2">
      <c r="D92" s="377"/>
      <c r="L92" s="22"/>
      <c r="N92" s="392"/>
    </row>
    <row r="93" spans="1:19" ht="14.25" x14ac:dyDescent="0.2">
      <c r="D93" s="377"/>
      <c r="L93" s="22"/>
      <c r="N93" s="392"/>
    </row>
    <row r="94" spans="1:19" ht="14.25" x14ac:dyDescent="0.2">
      <c r="D94" s="391" t="s">
        <v>750</v>
      </c>
      <c r="G94" s="391" t="s">
        <v>749</v>
      </c>
      <c r="L94" s="48"/>
      <c r="M94" s="222"/>
      <c r="N94" s="393"/>
      <c r="O94" s="394"/>
      <c r="P94" s="395"/>
    </row>
    <row r="95" spans="1:19" ht="14.25" x14ac:dyDescent="0.2">
      <c r="D95" s="377" t="s">
        <v>751</v>
      </c>
      <c r="G95" s="377" t="s">
        <v>133</v>
      </c>
      <c r="L95" s="22"/>
      <c r="M95" s="20" t="s">
        <v>681</v>
      </c>
      <c r="N95" s="392"/>
      <c r="O95" s="69"/>
    </row>
    <row r="101" spans="3:19" s="379" customFormat="1" x14ac:dyDescent="0.2">
      <c r="C101" s="20"/>
      <c r="D101" s="69"/>
      <c r="E101" s="72"/>
      <c r="F101" s="22"/>
      <c r="G101" s="377"/>
      <c r="H101" s="378"/>
      <c r="K101" s="377"/>
      <c r="L101" s="21"/>
      <c r="M101" s="22"/>
      <c r="O101" s="377"/>
      <c r="P101" s="377"/>
      <c r="Q101" s="377"/>
      <c r="R101" s="20"/>
      <c r="S101" s="396"/>
    </row>
    <row r="102" spans="3:19" s="379" customFormat="1" x14ac:dyDescent="0.2">
      <c r="C102" s="20"/>
      <c r="D102" s="69"/>
      <c r="E102" s="72"/>
      <c r="F102" s="22"/>
      <c r="G102" s="377"/>
      <c r="H102" s="378"/>
      <c r="K102" s="377"/>
      <c r="L102" s="21"/>
      <c r="M102" s="22"/>
      <c r="O102" s="377"/>
      <c r="P102" s="377"/>
      <c r="Q102" s="377"/>
      <c r="R102" s="20"/>
      <c r="S102" s="396"/>
    </row>
  </sheetData>
  <autoFilter ref="A8:R89">
    <filterColumn colId="14" showButton="0"/>
  </autoFilter>
  <mergeCells count="19">
    <mergeCell ref="Q1:R1"/>
    <mergeCell ref="B8:B9"/>
    <mergeCell ref="D8:D9"/>
    <mergeCell ref="E8:E9"/>
    <mergeCell ref="H8:H9"/>
    <mergeCell ref="I8:I9"/>
    <mergeCell ref="J8:J9"/>
    <mergeCell ref="N8:N9"/>
    <mergeCell ref="Q8:Q9"/>
    <mergeCell ref="O8:P8"/>
    <mergeCell ref="B2:Q2"/>
    <mergeCell ref="B3:Q3"/>
    <mergeCell ref="B4:Q4"/>
    <mergeCell ref="B6:Q6"/>
    <mergeCell ref="K8:K9"/>
    <mergeCell ref="L8:L9"/>
    <mergeCell ref="M8:M9"/>
    <mergeCell ref="F8:F9"/>
    <mergeCell ref="G8:G9"/>
  </mergeCells>
  <conditionalFormatting sqref="M10:M14 M20:M21 M49:M87 M23:M27 M30:M44">
    <cfRule type="cellIs" dxfId="62" priority="17" operator="equal">
      <formula>#REF!</formula>
    </cfRule>
  </conditionalFormatting>
  <conditionalFormatting sqref="E44">
    <cfRule type="duplicateValues" dxfId="61" priority="16"/>
  </conditionalFormatting>
  <conditionalFormatting sqref="M22">
    <cfRule type="cellIs" dxfId="60" priority="15" operator="equal">
      <formula>#REF!</formula>
    </cfRule>
  </conditionalFormatting>
  <conditionalFormatting sqref="E24">
    <cfRule type="duplicateValues" dxfId="59" priority="12"/>
  </conditionalFormatting>
  <conditionalFormatting sqref="M28">
    <cfRule type="cellIs" dxfId="58" priority="11" operator="equal">
      <formula>#REF!</formula>
    </cfRule>
  </conditionalFormatting>
  <conditionalFormatting sqref="M45:M48">
    <cfRule type="cellIs" dxfId="57" priority="10" operator="equal">
      <formula>#REF!</formula>
    </cfRule>
  </conditionalFormatting>
  <conditionalFormatting sqref="M15">
    <cfRule type="cellIs" dxfId="56" priority="8" operator="equal">
      <formula>#REF!</formula>
    </cfRule>
  </conditionalFormatting>
  <conditionalFormatting sqref="E15">
    <cfRule type="duplicateValues" dxfId="55" priority="7"/>
  </conditionalFormatting>
  <conditionalFormatting sqref="M29">
    <cfRule type="cellIs" dxfId="54" priority="6" operator="equal">
      <formula>#REF!</formula>
    </cfRule>
  </conditionalFormatting>
  <conditionalFormatting sqref="E45:E48">
    <cfRule type="duplicateValues" dxfId="53" priority="18"/>
  </conditionalFormatting>
  <conditionalFormatting sqref="M19">
    <cfRule type="cellIs" dxfId="13" priority="4" operator="equal">
      <formula>#REF!</formula>
    </cfRule>
  </conditionalFormatting>
  <conditionalFormatting sqref="M18">
    <cfRule type="cellIs" dxfId="11" priority="3" operator="equal">
      <formula>#REF!</formula>
    </cfRule>
  </conditionalFormatting>
  <conditionalFormatting sqref="M17">
    <cfRule type="cellIs" dxfId="9" priority="2" operator="equal">
      <formula>#REF!</formula>
    </cfRule>
  </conditionalFormatting>
  <conditionalFormatting sqref="M16">
    <cfRule type="cellIs" dxfId="7" priority="1" operator="equal">
      <formula>#REF!</formula>
    </cfRule>
  </conditionalFormatting>
  <hyperlinks>
    <hyperlink ref="R40" r:id="rId1"/>
    <hyperlink ref="R41" r:id="rId2"/>
    <hyperlink ref="R42" r:id="rId3"/>
    <hyperlink ref="R43" r:id="rId4"/>
    <hyperlink ref="R51" r:id="rId5"/>
    <hyperlink ref="R52" r:id="rId6"/>
    <hyperlink ref="R53" r:id="rId7"/>
    <hyperlink ref="R54" r:id="rId8"/>
    <hyperlink ref="R55" r:id="rId9"/>
    <hyperlink ref="R35" r:id="rId10"/>
    <hyperlink ref="R36" r:id="rId11"/>
    <hyperlink ref="R11" r:id="rId12"/>
    <hyperlink ref="R22" r:id="rId13"/>
  </hyperlinks>
  <printOptions horizontalCentered="1"/>
  <pageMargins left="0.11811023622047245" right="0.11811023622047245" top="0.31496062992125984" bottom="0.31496062992125984" header="0" footer="0"/>
  <pageSetup paperSize="14" scale="86" fitToHeight="0" orientation="landscape" horizontalDpi="0" verticalDpi="0" r:id="rId14"/>
  <headerFooter>
    <oddFooter>&amp;C&amp;P OF &amp;N</oddFooter>
  </headerFooter>
  <colBreaks count="1" manualBreakCount="1">
    <brk id="17" max="57" man="1"/>
  </colBreaks>
  <legacy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4"/>
  <sheetViews>
    <sheetView zoomScaleNormal="100" workbookViewId="0">
      <selection activeCell="A20" sqref="A20:XFD21"/>
    </sheetView>
  </sheetViews>
  <sheetFormatPr defaultRowHeight="15" x14ac:dyDescent="0.25"/>
  <cols>
    <col min="1" max="1" width="13.85546875" style="344" customWidth="1"/>
    <col min="2" max="2" width="4.7109375" style="344" customWidth="1"/>
    <col min="3" max="3" width="5.5703125" style="344" customWidth="1"/>
    <col min="4" max="4" width="36.42578125" style="344" customWidth="1"/>
    <col min="5" max="5" width="11" style="344" customWidth="1"/>
    <col min="6" max="6" width="10.7109375" style="344" customWidth="1"/>
    <col min="7" max="7" width="7.7109375" style="344" customWidth="1"/>
    <col min="8" max="8" width="10.28515625" style="344" bestFit="1" customWidth="1"/>
    <col min="9" max="9" width="10.5703125" style="344" customWidth="1"/>
    <col min="10" max="10" width="11.5703125" style="344" customWidth="1"/>
    <col min="11" max="11" width="9.5703125" style="344" customWidth="1"/>
    <col min="12" max="16384" width="9.140625" style="344"/>
  </cols>
  <sheetData>
    <row r="2" spans="1:8" x14ac:dyDescent="0.25">
      <c r="A2" s="277"/>
      <c r="B2" s="277"/>
      <c r="C2" s="277"/>
      <c r="D2" s="277"/>
      <c r="E2" s="277"/>
      <c r="F2" s="277"/>
      <c r="G2" s="277"/>
      <c r="H2" s="277"/>
    </row>
    <row r="3" spans="1:8" x14ac:dyDescent="0.25">
      <c r="A3" s="425" t="s">
        <v>701</v>
      </c>
      <c r="B3" s="425"/>
      <c r="C3" s="425"/>
      <c r="D3" s="425"/>
      <c r="E3" s="425"/>
      <c r="F3" s="425"/>
      <c r="G3" s="425"/>
      <c r="H3" s="425"/>
    </row>
    <row r="4" spans="1:8" x14ac:dyDescent="0.25">
      <c r="A4" s="425" t="s">
        <v>53</v>
      </c>
      <c r="B4" s="425"/>
      <c r="C4" s="425"/>
      <c r="D4" s="425"/>
      <c r="E4" s="425"/>
      <c r="F4" s="425"/>
      <c r="G4" s="425"/>
      <c r="H4" s="425"/>
    </row>
    <row r="5" spans="1:8" x14ac:dyDescent="0.25">
      <c r="A5" s="425" t="s">
        <v>159</v>
      </c>
      <c r="B5" s="425"/>
      <c r="C5" s="425"/>
      <c r="D5" s="425"/>
      <c r="E5" s="425"/>
      <c r="F5" s="425"/>
      <c r="G5" s="425"/>
      <c r="H5" s="425"/>
    </row>
    <row r="6" spans="1:8" x14ac:dyDescent="0.25">
      <c r="A6" s="277"/>
      <c r="B6" s="277"/>
      <c r="C6" s="277"/>
      <c r="D6" s="277"/>
      <c r="E6" s="277"/>
      <c r="F6" s="277"/>
      <c r="G6" s="277"/>
      <c r="H6" s="277"/>
    </row>
    <row r="7" spans="1:8" ht="15.75" x14ac:dyDescent="0.25">
      <c r="A7" s="426" t="s">
        <v>702</v>
      </c>
      <c r="B7" s="426"/>
      <c r="C7" s="426"/>
      <c r="D7" s="426"/>
      <c r="E7" s="426"/>
      <c r="F7" s="426"/>
      <c r="G7" s="426"/>
      <c r="H7" s="426"/>
    </row>
    <row r="8" spans="1:8" x14ac:dyDescent="0.25">
      <c r="A8" s="277"/>
      <c r="B8" s="277"/>
      <c r="C8" s="277"/>
      <c r="D8" s="277"/>
      <c r="E8" s="277"/>
      <c r="F8" s="277"/>
      <c r="G8" s="277"/>
      <c r="H8" s="277"/>
    </row>
    <row r="9" spans="1:8" x14ac:dyDescent="0.25">
      <c r="A9" s="277" t="s">
        <v>703</v>
      </c>
      <c r="B9" s="427">
        <f ca="1">TODAY()</f>
        <v>46037</v>
      </c>
      <c r="C9" s="427"/>
      <c r="D9" s="427"/>
      <c r="E9" s="427"/>
      <c r="F9" s="427"/>
      <c r="G9" s="277"/>
      <c r="H9" s="277"/>
    </row>
    <row r="10" spans="1:8" x14ac:dyDescent="0.25">
      <c r="A10" s="277" t="s">
        <v>704</v>
      </c>
      <c r="B10" s="345" t="s">
        <v>714</v>
      </c>
      <c r="C10" s="346"/>
      <c r="D10" s="277"/>
      <c r="E10" s="277"/>
      <c r="F10" s="277"/>
      <c r="G10" s="277"/>
      <c r="H10" s="277"/>
    </row>
    <row r="11" spans="1:8" x14ac:dyDescent="0.25">
      <c r="A11" s="277"/>
      <c r="B11" s="277"/>
      <c r="C11" s="277"/>
      <c r="D11" s="277"/>
      <c r="E11" s="277"/>
      <c r="F11" s="277"/>
      <c r="G11" s="277"/>
      <c r="H11" s="277"/>
    </row>
    <row r="12" spans="1:8" ht="49.5" x14ac:dyDescent="0.25">
      <c r="A12" s="343" t="s">
        <v>705</v>
      </c>
      <c r="B12" s="343" t="s">
        <v>130</v>
      </c>
      <c r="C12" s="343" t="s">
        <v>706</v>
      </c>
      <c r="D12" s="343" t="s">
        <v>707</v>
      </c>
      <c r="E12" s="343" t="s">
        <v>708</v>
      </c>
      <c r="F12" s="343" t="s">
        <v>709</v>
      </c>
      <c r="G12" s="343" t="s">
        <v>710</v>
      </c>
      <c r="H12" s="343" t="s">
        <v>156</v>
      </c>
    </row>
    <row r="13" spans="1:8" ht="16.5" x14ac:dyDescent="0.25">
      <c r="A13" s="347" t="e">
        <f>+RPCPPE!#REF!</f>
        <v>#REF!</v>
      </c>
      <c r="B13" s="348" t="e">
        <f>+RPCPPE!#REF!</f>
        <v>#REF!</v>
      </c>
      <c r="C13" s="348" t="e">
        <f>+RPCPPE!#REF!</f>
        <v>#REF!</v>
      </c>
      <c r="D13" s="369" t="e">
        <f>+RPCPPE!#REF!</f>
        <v>#REF!</v>
      </c>
      <c r="E13" s="350" t="e">
        <f>+RPCPPE!#REF!</f>
        <v>#REF!</v>
      </c>
      <c r="F13" s="351" t="e">
        <f>+E13</f>
        <v>#REF!</v>
      </c>
      <c r="G13" s="348">
        <v>5</v>
      </c>
      <c r="H13" s="374" t="e">
        <f>+RPCPPE!#REF!</f>
        <v>#REF!</v>
      </c>
    </row>
    <row r="14" spans="1:8" ht="33" x14ac:dyDescent="0.25">
      <c r="A14" s="347" t="str">
        <f>+RPCPPE!E16</f>
        <v>2023-NFA-00B-CM-I-001</v>
      </c>
      <c r="B14" s="348">
        <f>+RPCPPE!N16</f>
        <v>1</v>
      </c>
      <c r="C14" s="348" t="str">
        <f>+RPCPPE!H16</f>
        <v>set</v>
      </c>
      <c r="D14" s="369" t="str">
        <f>+RPCPPE!D16</f>
        <v>DJI AIR 2S DRONE FLY MORE COMBO BUNDLE Inclusion: Aircraft, Remote Controller, Flight Battery, Charging Hub, Power  Adapter, Travel Bag, AC Power Cable, USB Cable, ND Filters</v>
      </c>
      <c r="E14" s="350">
        <f>+RPCPPE!I16</f>
        <v>77137</v>
      </c>
      <c r="F14" s="351">
        <f>+E14</f>
        <v>77137</v>
      </c>
      <c r="G14" s="348">
        <v>5</v>
      </c>
      <c r="H14" s="352">
        <f>+RPCPPE!G16</f>
        <v>45208</v>
      </c>
    </row>
    <row r="15" spans="1:8" ht="33" x14ac:dyDescent="0.25">
      <c r="A15" s="347" t="str">
        <f>+RPCPPE!E22</f>
        <v>2007-NFA-002-DP-F-001</v>
      </c>
      <c r="B15" s="348">
        <f>+RPCPPE!N22</f>
        <v>1</v>
      </c>
      <c r="C15" s="348" t="str">
        <f>+RPCPPE!H22</f>
        <v>pc.</v>
      </c>
      <c r="D15" s="369" t="str">
        <f>+RPCPPE!D22</f>
        <v>SERVER, HP PROLIANT (UPGRADED)</v>
      </c>
      <c r="E15" s="350">
        <f>+RPCPPE!I22</f>
        <v>244431.05</v>
      </c>
      <c r="F15" s="351">
        <f>+E15</f>
        <v>244431.05</v>
      </c>
      <c r="G15" s="348">
        <v>5</v>
      </c>
      <c r="H15" s="352">
        <f>+RPCPPE!G22</f>
        <v>39086</v>
      </c>
    </row>
    <row r="16" spans="1:8" ht="33" x14ac:dyDescent="0.25">
      <c r="A16" s="347" t="str">
        <f>+RPCPPE!E24</f>
        <v>2023-NFA-00B-DP-B-001</v>
      </c>
      <c r="B16" s="348">
        <f>+RPCPPE!N24</f>
        <v>1</v>
      </c>
      <c r="C16" s="348" t="str">
        <f>+RPCPPE!H24</f>
        <v>set</v>
      </c>
      <c r="D16" s="369" t="str">
        <f>+RPCPPE!D24</f>
        <v>SYNOLOGY DS923+ 4BAY DISKSTATION NETWORK ATTACHED STORAGE (NAS) WITH 4PCS NAS 3.5" SATA HARDRIVE AND 16GB SODIMM MEMORY</v>
      </c>
      <c r="E16" s="350">
        <f>+RPCPPE!I24</f>
        <v>70670</v>
      </c>
      <c r="F16" s="351">
        <f>+E16</f>
        <v>70670</v>
      </c>
      <c r="G16" s="348">
        <v>5</v>
      </c>
      <c r="H16" s="352">
        <f>+RPCPPE!G24</f>
        <v>45127</v>
      </c>
    </row>
    <row r="17" spans="1:8" ht="16.5" x14ac:dyDescent="0.25">
      <c r="A17" s="347" t="e">
        <f>+RPCPPE!#REF!</f>
        <v>#REF!</v>
      </c>
      <c r="B17" s="348" t="e">
        <f>+RPCPPE!#REF!</f>
        <v>#REF!</v>
      </c>
      <c r="C17" s="348" t="e">
        <f>+RPCPPE!#REF!</f>
        <v>#REF!</v>
      </c>
      <c r="D17" s="369" t="e">
        <f>+RPCPPE!#REF!</f>
        <v>#REF!</v>
      </c>
      <c r="E17" s="350" t="e">
        <f>+RPCPPE!#REF!</f>
        <v>#REF!</v>
      </c>
      <c r="F17" s="351" t="e">
        <f>+E17</f>
        <v>#REF!</v>
      </c>
      <c r="G17" s="348">
        <v>5</v>
      </c>
      <c r="H17" s="352" t="e">
        <f>+RPCPPE!#REF!</f>
        <v>#REF!</v>
      </c>
    </row>
    <row r="18" spans="1:8" ht="16.5" x14ac:dyDescent="0.25">
      <c r="A18" s="370"/>
      <c r="B18" s="370"/>
      <c r="C18" s="370"/>
      <c r="D18" s="373" t="s">
        <v>719</v>
      </c>
      <c r="E18" s="370"/>
      <c r="F18" s="370"/>
      <c r="G18" s="370"/>
      <c r="H18" s="370"/>
    </row>
    <row r="19" spans="1:8" ht="16.5" x14ac:dyDescent="0.25">
      <c r="A19" s="370"/>
      <c r="B19" s="370"/>
      <c r="C19" s="370"/>
      <c r="D19" s="370"/>
      <c r="E19" s="370"/>
      <c r="F19" s="370"/>
      <c r="G19" s="370"/>
      <c r="H19" s="370"/>
    </row>
    <row r="20" spans="1:8" ht="16.5" x14ac:dyDescent="0.25">
      <c r="A20" s="370"/>
      <c r="B20" s="370"/>
      <c r="C20" s="370"/>
      <c r="D20" s="370"/>
      <c r="E20" s="370"/>
      <c r="F20" s="370"/>
      <c r="G20" s="370"/>
      <c r="H20" s="370"/>
    </row>
    <row r="21" spans="1:8" ht="16.5" x14ac:dyDescent="0.25">
      <c r="A21" s="370"/>
      <c r="B21" s="370"/>
      <c r="C21" s="370"/>
      <c r="D21" s="370"/>
      <c r="E21" s="370"/>
      <c r="F21" s="370"/>
      <c r="G21" s="370"/>
      <c r="H21" s="370"/>
    </row>
    <row r="22" spans="1:8" ht="16.5" x14ac:dyDescent="0.25">
      <c r="A22" s="370"/>
      <c r="B22" s="370"/>
      <c r="C22" s="370"/>
      <c r="D22" s="370"/>
      <c r="E22" s="370"/>
      <c r="F22" s="370"/>
      <c r="G22" s="370"/>
      <c r="H22" s="370"/>
    </row>
    <row r="23" spans="1:8" ht="16.5" x14ac:dyDescent="0.25">
      <c r="A23" s="370"/>
      <c r="B23" s="370"/>
      <c r="C23" s="370"/>
      <c r="D23" s="370"/>
      <c r="E23" s="370"/>
      <c r="F23" s="370"/>
      <c r="G23" s="370"/>
      <c r="H23" s="370"/>
    </row>
    <row r="24" spans="1:8" ht="16.5" x14ac:dyDescent="0.25">
      <c r="A24" s="370"/>
      <c r="B24" s="370"/>
      <c r="C24" s="370"/>
      <c r="D24" s="370"/>
      <c r="E24" s="370"/>
      <c r="F24" s="370"/>
      <c r="G24" s="370"/>
      <c r="H24" s="370"/>
    </row>
    <row r="25" spans="1:8" ht="16.5" x14ac:dyDescent="0.25">
      <c r="A25" s="370"/>
      <c r="B25" s="370"/>
      <c r="C25" s="370"/>
      <c r="D25" s="370"/>
      <c r="E25" s="370"/>
      <c r="F25" s="370"/>
      <c r="G25" s="370"/>
      <c r="H25" s="370"/>
    </row>
    <row r="26" spans="1:8" ht="16.5" x14ac:dyDescent="0.25">
      <c r="A26" s="371"/>
      <c r="B26" s="370"/>
      <c r="C26" s="370"/>
      <c r="D26" s="370"/>
      <c r="E26" s="370"/>
      <c r="F26" s="370"/>
      <c r="G26" s="370"/>
      <c r="H26" s="370"/>
    </row>
    <row r="27" spans="1:8" ht="16.5" x14ac:dyDescent="0.25">
      <c r="A27" s="371"/>
      <c r="B27" s="370"/>
      <c r="C27" s="370"/>
      <c r="D27" s="370"/>
      <c r="E27" s="370"/>
      <c r="F27" s="370"/>
      <c r="G27" s="370"/>
      <c r="H27" s="370"/>
    </row>
    <row r="28" spans="1:8" ht="16.5" x14ac:dyDescent="0.25">
      <c r="A28" s="371"/>
      <c r="B28" s="370"/>
      <c r="C28" s="370"/>
      <c r="D28" s="370"/>
      <c r="E28" s="370"/>
      <c r="F28" s="370"/>
      <c r="G28" s="370"/>
      <c r="H28" s="370"/>
    </row>
    <row r="29" spans="1:8" ht="16.5" x14ac:dyDescent="0.25">
      <c r="A29" s="371"/>
      <c r="B29" s="370"/>
      <c r="C29" s="370"/>
      <c r="D29" s="370"/>
      <c r="E29" s="370"/>
      <c r="F29" s="370"/>
      <c r="G29" s="370"/>
      <c r="H29" s="370"/>
    </row>
    <row r="30" spans="1:8" ht="16.5" x14ac:dyDescent="0.25">
      <c r="A30" s="353" t="s">
        <v>711</v>
      </c>
      <c r="B30" s="354"/>
      <c r="C30" s="355"/>
      <c r="D30" s="356" t="s">
        <v>712</v>
      </c>
      <c r="E30" s="353" t="s">
        <v>713</v>
      </c>
      <c r="F30" s="354"/>
      <c r="G30" s="357"/>
      <c r="H30" s="358"/>
    </row>
    <row r="31" spans="1:8" x14ac:dyDescent="0.25">
      <c r="A31" s="359"/>
      <c r="B31" s="360"/>
      <c r="C31" s="361"/>
      <c r="D31" s="362"/>
      <c r="E31" s="359"/>
      <c r="F31" s="360"/>
      <c r="G31" s="363"/>
      <c r="H31" s="364"/>
    </row>
    <row r="32" spans="1:8" x14ac:dyDescent="0.25">
      <c r="A32" s="365"/>
      <c r="B32" s="363"/>
      <c r="C32" s="364"/>
      <c r="D32" s="366"/>
      <c r="E32" s="365"/>
      <c r="F32" s="363"/>
      <c r="G32" s="363"/>
      <c r="H32" s="364"/>
    </row>
    <row r="33" spans="1:8" x14ac:dyDescent="0.25">
      <c r="A33" s="419" t="s">
        <v>84</v>
      </c>
      <c r="B33" s="420"/>
      <c r="C33" s="421"/>
      <c r="D33" s="367" t="str">
        <f>+A33</f>
        <v>ROEL D. CAPERIG</v>
      </c>
      <c r="E33" s="419" t="s">
        <v>715</v>
      </c>
      <c r="F33" s="420"/>
      <c r="G33" s="420"/>
      <c r="H33" s="421"/>
    </row>
    <row r="34" spans="1:8" x14ac:dyDescent="0.25">
      <c r="A34" s="422" t="s">
        <v>664</v>
      </c>
      <c r="B34" s="423"/>
      <c r="C34" s="424"/>
      <c r="D34" s="368" t="str">
        <f>+A34</f>
        <v>PMO IV</v>
      </c>
      <c r="E34" s="422" t="s">
        <v>716</v>
      </c>
      <c r="F34" s="423"/>
      <c r="G34" s="423"/>
      <c r="H34" s="424"/>
    </row>
  </sheetData>
  <mergeCells count="9">
    <mergeCell ref="A33:C33"/>
    <mergeCell ref="E33:H33"/>
    <mergeCell ref="A34:C34"/>
    <mergeCell ref="E34:H34"/>
    <mergeCell ref="A3:H3"/>
    <mergeCell ref="A4:H4"/>
    <mergeCell ref="A5:H5"/>
    <mergeCell ref="A7:H7"/>
    <mergeCell ref="B9:F9"/>
  </mergeCells>
  <pageMargins left="0.31496062992125984" right="0.31496062992125984" top="0.35433070866141736" bottom="0.35433070866141736" header="0.11811023622047245" footer="0.11811023622047245"/>
  <pageSetup paperSize="9" scale="95"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8"/>
  <sheetViews>
    <sheetView zoomScaleNormal="100" workbookViewId="0">
      <selection activeCell="D18" sqref="D18"/>
    </sheetView>
  </sheetViews>
  <sheetFormatPr defaultRowHeight="15" x14ac:dyDescent="0.25"/>
  <cols>
    <col min="1" max="1" width="13.42578125" style="344" customWidth="1"/>
    <col min="2" max="2" width="4.7109375" style="344" customWidth="1"/>
    <col min="3" max="3" width="5.5703125" style="344" customWidth="1"/>
    <col min="4" max="4" width="36.42578125" style="344" customWidth="1"/>
    <col min="5" max="5" width="12.42578125" style="344" customWidth="1"/>
    <col min="6" max="6" width="12.5703125" style="344" customWidth="1"/>
    <col min="7" max="7" width="7.7109375" style="344" customWidth="1"/>
    <col min="8" max="8" width="10.28515625" style="344" bestFit="1" customWidth="1"/>
    <col min="9" max="9" width="10.5703125" style="344" customWidth="1"/>
    <col min="10" max="10" width="11.5703125" style="344" customWidth="1"/>
    <col min="11" max="11" width="9.5703125" style="344" customWidth="1"/>
    <col min="12" max="16384" width="9.140625" style="344"/>
  </cols>
  <sheetData>
    <row r="2" spans="1:8" x14ac:dyDescent="0.25">
      <c r="A2" s="277"/>
      <c r="B2" s="277"/>
      <c r="C2" s="277"/>
      <c r="D2" s="277"/>
      <c r="E2" s="277"/>
      <c r="F2" s="277"/>
      <c r="G2" s="277"/>
      <c r="H2" s="277"/>
    </row>
    <row r="3" spans="1:8" x14ac:dyDescent="0.25">
      <c r="A3" s="425" t="s">
        <v>701</v>
      </c>
      <c r="B3" s="425"/>
      <c r="C3" s="425"/>
      <c r="D3" s="425"/>
      <c r="E3" s="425"/>
      <c r="F3" s="425"/>
      <c r="G3" s="425"/>
      <c r="H3" s="425"/>
    </row>
    <row r="4" spans="1:8" x14ac:dyDescent="0.25">
      <c r="A4" s="425" t="s">
        <v>53</v>
      </c>
      <c r="B4" s="425"/>
      <c r="C4" s="425"/>
      <c r="D4" s="425"/>
      <c r="E4" s="425"/>
      <c r="F4" s="425"/>
      <c r="G4" s="425"/>
      <c r="H4" s="425"/>
    </row>
    <row r="5" spans="1:8" x14ac:dyDescent="0.25">
      <c r="A5" s="425" t="s">
        <v>159</v>
      </c>
      <c r="B5" s="425"/>
      <c r="C5" s="425"/>
      <c r="D5" s="425"/>
      <c r="E5" s="425"/>
      <c r="F5" s="425"/>
      <c r="G5" s="425"/>
      <c r="H5" s="425"/>
    </row>
    <row r="6" spans="1:8" x14ac:dyDescent="0.25">
      <c r="A6" s="277"/>
      <c r="B6" s="277"/>
      <c r="C6" s="277"/>
      <c r="D6" s="277"/>
      <c r="E6" s="277"/>
      <c r="F6" s="277"/>
      <c r="G6" s="277"/>
      <c r="H6" s="277"/>
    </row>
    <row r="7" spans="1:8" ht="15.75" x14ac:dyDescent="0.25">
      <c r="A7" s="426" t="s">
        <v>702</v>
      </c>
      <c r="B7" s="426"/>
      <c r="C7" s="426"/>
      <c r="D7" s="426"/>
      <c r="E7" s="426"/>
      <c r="F7" s="426"/>
      <c r="G7" s="426"/>
      <c r="H7" s="426"/>
    </row>
    <row r="8" spans="1:8" x14ac:dyDescent="0.25">
      <c r="A8" s="277"/>
      <c r="B8" s="277"/>
      <c r="C8" s="277"/>
      <c r="D8" s="277"/>
      <c r="E8" s="277"/>
      <c r="F8" s="277"/>
      <c r="G8" s="277"/>
      <c r="H8" s="277"/>
    </row>
    <row r="9" spans="1:8" x14ac:dyDescent="0.25">
      <c r="A9" s="277" t="s">
        <v>703</v>
      </c>
      <c r="B9" s="427">
        <f ca="1">TODAY()</f>
        <v>46037</v>
      </c>
      <c r="C9" s="427"/>
      <c r="D9" s="427"/>
      <c r="E9" s="427"/>
      <c r="F9" s="427"/>
      <c r="G9" s="277"/>
      <c r="H9" s="277"/>
    </row>
    <row r="10" spans="1:8" x14ac:dyDescent="0.25">
      <c r="A10" s="277" t="s">
        <v>704</v>
      </c>
      <c r="B10" s="345" t="s">
        <v>718</v>
      </c>
      <c r="C10" s="346"/>
      <c r="D10" s="277"/>
      <c r="E10" s="277"/>
      <c r="F10" s="277"/>
      <c r="G10" s="277"/>
      <c r="H10" s="277"/>
    </row>
    <row r="11" spans="1:8" x14ac:dyDescent="0.25">
      <c r="A11" s="277"/>
      <c r="B11" s="277"/>
      <c r="C11" s="277"/>
      <c r="D11" s="277"/>
      <c r="E11" s="277"/>
      <c r="F11" s="277"/>
      <c r="G11" s="277"/>
      <c r="H11" s="277"/>
    </row>
    <row r="12" spans="1:8" ht="49.5" x14ac:dyDescent="0.25">
      <c r="A12" s="343" t="s">
        <v>705</v>
      </c>
      <c r="B12" s="343" t="s">
        <v>130</v>
      </c>
      <c r="C12" s="343" t="s">
        <v>706</v>
      </c>
      <c r="D12" s="343" t="s">
        <v>707</v>
      </c>
      <c r="E12" s="343" t="s">
        <v>708</v>
      </c>
      <c r="F12" s="343" t="s">
        <v>709</v>
      </c>
      <c r="G12" s="343" t="s">
        <v>710</v>
      </c>
      <c r="H12" s="343" t="s">
        <v>156</v>
      </c>
    </row>
    <row r="13" spans="1:8" ht="33" x14ac:dyDescent="0.25">
      <c r="A13" s="347" t="str">
        <f>+RPCPPE!E11</f>
        <v>2018-NFA-00B-BS-A-0028.5</v>
      </c>
      <c r="B13" s="348">
        <f>+RPCPPE!N11</f>
        <v>1</v>
      </c>
      <c r="C13" s="372">
        <f>+RPCPPE!H11</f>
        <v>0</v>
      </c>
      <c r="D13" s="349" t="str">
        <f>+RPCPPE!D11</f>
        <v>Building - Regional Office</v>
      </c>
      <c r="E13" s="350">
        <f>+RPCPPE!I11</f>
        <v>1782828.5</v>
      </c>
      <c r="F13" s="351">
        <f>+E13</f>
        <v>1782828.5</v>
      </c>
      <c r="G13" s="348">
        <v>30</v>
      </c>
      <c r="H13" s="352">
        <f>+RPCPPE!G11</f>
        <v>43462</v>
      </c>
    </row>
    <row r="14" spans="1:8" ht="33" x14ac:dyDescent="0.25">
      <c r="A14" s="347" t="str">
        <f>+RPCPPE!E12</f>
        <v>1979-NFA-002-BS-A-001</v>
      </c>
      <c r="B14" s="348">
        <f>+RPCPPE!N12</f>
        <v>1</v>
      </c>
      <c r="C14" s="372">
        <f>+RPCPPE!H12</f>
        <v>0</v>
      </c>
      <c r="D14" s="349" t="str">
        <f>+RPCPPE!D12</f>
        <v>Building - Regional Office</v>
      </c>
      <c r="E14" s="350">
        <f>+RPCPPE!I12</f>
        <v>1476980.09</v>
      </c>
      <c r="F14" s="351">
        <f>+E14</f>
        <v>1476980.09</v>
      </c>
      <c r="G14" s="348">
        <v>30</v>
      </c>
      <c r="H14" s="352">
        <f>+RPCPPE!G12</f>
        <v>28915</v>
      </c>
    </row>
    <row r="15" spans="1:8" ht="73.5" customHeight="1" x14ac:dyDescent="0.25">
      <c r="A15" s="347" t="str">
        <f>+RPCPPE!E15</f>
        <v>2022-NFA-MSD-CM-G-021</v>
      </c>
      <c r="B15" s="348">
        <f>+RPCPPE!N15</f>
        <v>1</v>
      </c>
      <c r="C15" s="372" t="str">
        <f>+RPCPPE!H15</f>
        <v>set</v>
      </c>
      <c r="D15" s="349" t="str">
        <f>+RPCPPE!D15</f>
        <v>Video Conferencing System TV SN:5204942, PC DELL - DJNY6K3, LOGITECH RALLY PLUS (TABLE HUB, DISPLAY HUB, CAMERA, MIC POS 1 &amp; 2 SPEAKER L&amp;R)</v>
      </c>
      <c r="E15" s="350">
        <f>+RPCPPE!I15</f>
        <v>305103.38</v>
      </c>
      <c r="F15" s="351">
        <f>+E15</f>
        <v>305103.38</v>
      </c>
      <c r="G15" s="348">
        <v>5</v>
      </c>
      <c r="H15" s="352">
        <f>+RPCPPE!G15</f>
        <v>44564</v>
      </c>
    </row>
    <row r="16" spans="1:8" ht="82.5" x14ac:dyDescent="0.25">
      <c r="A16" s="347" t="str">
        <f>+RPCPPE!E16</f>
        <v>2023-NFA-00B-CM-I-001</v>
      </c>
      <c r="B16" s="348">
        <f>+RPCPPE!N16</f>
        <v>1</v>
      </c>
      <c r="C16" s="372" t="str">
        <f>+RPCPPE!H16</f>
        <v>set</v>
      </c>
      <c r="D16" s="349" t="str">
        <f>+RPCPPE!D16</f>
        <v>DJI AIR 2S DRONE FLY MORE COMBO BUNDLE Inclusion: Aircraft, Remote Controller, Flight Battery, Charging Hub, Power  Adapter, Travel Bag, AC Power Cable, USB Cable, ND Filters</v>
      </c>
      <c r="E16" s="350">
        <f>+RPCPPE!I16</f>
        <v>77137</v>
      </c>
      <c r="F16" s="351">
        <f>+E16</f>
        <v>77137</v>
      </c>
      <c r="G16" s="348">
        <v>5</v>
      </c>
      <c r="H16" s="375" t="s">
        <v>720</v>
      </c>
    </row>
    <row r="17" spans="1:8" ht="33" x14ac:dyDescent="0.25">
      <c r="A17" s="347" t="str">
        <f>+RPCPPE!E28</f>
        <v>2022-NFA-00B-FF-D-001</v>
      </c>
      <c r="B17" s="348">
        <f>+RPCPPE!N28</f>
        <v>1</v>
      </c>
      <c r="C17" s="372" t="str">
        <f>+RPCPPE!H28</f>
        <v>set</v>
      </c>
      <c r="D17" s="349" t="str">
        <f>+RPCPPE!D28</f>
        <v>12 SEATER T-SHAPE CONFERENCE TABLE</v>
      </c>
      <c r="E17" s="350">
        <f>+RPCPPE!I28</f>
        <v>97500</v>
      </c>
      <c r="F17" s="351">
        <f t="shared" ref="F17:F23" si="0">+E17</f>
        <v>97500</v>
      </c>
      <c r="G17" s="348">
        <v>5</v>
      </c>
      <c r="H17" s="352">
        <f>+RPCPPE!G28</f>
        <v>44208</v>
      </c>
    </row>
    <row r="18" spans="1:8" ht="33" x14ac:dyDescent="0.25">
      <c r="A18" s="347" t="str">
        <f>+RPCPPE!E29</f>
        <v>2023-NFA-00B-FF-I-003</v>
      </c>
      <c r="B18" s="348">
        <f>+RPCPPE!N29</f>
        <v>1</v>
      </c>
      <c r="C18" s="372" t="str">
        <f>+RPCPPE!H29</f>
        <v>set</v>
      </c>
      <c r="D18" s="349" t="str">
        <f>+RPCPPE!D29</f>
        <v>SOFA SET</v>
      </c>
      <c r="E18" s="350">
        <f>+RPCPPE!I29</f>
        <v>62000</v>
      </c>
      <c r="F18" s="351">
        <f t="shared" si="0"/>
        <v>62000</v>
      </c>
      <c r="G18" s="348">
        <v>3</v>
      </c>
      <c r="H18" s="352">
        <f>+RPCPPE!G29</f>
        <v>45093</v>
      </c>
    </row>
    <row r="19" spans="1:8" ht="33" x14ac:dyDescent="0.25">
      <c r="A19" s="347" t="str">
        <f>+RPCPPE!E30</f>
        <v>2023-NFA-00B-FF-L-003</v>
      </c>
      <c r="B19" s="348">
        <f>+RPCPPE!N30</f>
        <v>1</v>
      </c>
      <c r="C19" s="372" t="str">
        <f>+RPCPPE!H30</f>
        <v>set</v>
      </c>
      <c r="D19" s="349" t="str">
        <f>+RPCPPE!D30</f>
        <v>WINDOW BLINDS (Blue)</v>
      </c>
      <c r="E19" s="350">
        <f>+RPCPPE!I30</f>
        <v>83650</v>
      </c>
      <c r="F19" s="351">
        <f t="shared" si="0"/>
        <v>83650</v>
      </c>
      <c r="G19" s="348">
        <v>5</v>
      </c>
      <c r="H19" s="352">
        <f>+RPCPPE!G30</f>
        <v>45148</v>
      </c>
    </row>
    <row r="20" spans="1:8" ht="33" x14ac:dyDescent="0.25">
      <c r="A20" s="347" t="str">
        <f>+RPCPPE!E41</f>
        <v>2012-NFA-0B0-OE-C-011</v>
      </c>
      <c r="B20" s="348">
        <f>+RPCPPE!N41</f>
        <v>1</v>
      </c>
      <c r="C20" s="372" t="str">
        <f>+RPCPPE!H41</f>
        <v>set</v>
      </c>
      <c r="D20" s="349" t="str">
        <f>+RPCPPE!D41</f>
        <v>AIRCONDITIONER , PACKED TYPE-FLOOR MOUNTED , 3 TONS,  KOPPEL</v>
      </c>
      <c r="E20" s="350">
        <f>+RPCPPE!I41</f>
        <v>81600</v>
      </c>
      <c r="F20" s="351">
        <f t="shared" si="0"/>
        <v>81600</v>
      </c>
      <c r="G20" s="348">
        <v>3</v>
      </c>
      <c r="H20" s="352">
        <f>+RPCPPE!G41</f>
        <v>41269</v>
      </c>
    </row>
    <row r="21" spans="1:8" ht="33" x14ac:dyDescent="0.25">
      <c r="A21" s="347" t="str">
        <f>+RPCPPE!E42</f>
        <v>2012-NFA-0B0-OE-C-013</v>
      </c>
      <c r="B21" s="348">
        <f>+RPCPPE!N42</f>
        <v>1</v>
      </c>
      <c r="C21" s="372" t="str">
        <f>+RPCPPE!H42</f>
        <v>set</v>
      </c>
      <c r="D21" s="349" t="str">
        <f>+RPCPPE!D42</f>
        <v>AIRCONDITIONER , PACKED TYPE-FLOOR MOUNTED , 3 TONS,  KOPPEL</v>
      </c>
      <c r="E21" s="350">
        <f>+RPCPPE!I42</f>
        <v>81600</v>
      </c>
      <c r="F21" s="351">
        <f t="shared" si="0"/>
        <v>81600</v>
      </c>
      <c r="G21" s="348">
        <v>3</v>
      </c>
      <c r="H21" s="352">
        <f>+RPCPPE!G42</f>
        <v>41269</v>
      </c>
    </row>
    <row r="22" spans="1:8" ht="33" x14ac:dyDescent="0.25">
      <c r="A22" s="347" t="str">
        <f>+RPCPPE!E44</f>
        <v>2022-NFA-00B-OE-C-020</v>
      </c>
      <c r="B22" s="348">
        <f>+RPCPPE!N44</f>
        <v>1</v>
      </c>
      <c r="C22" s="372" t="str">
        <f>+RPCPPE!H44</f>
        <v>set</v>
      </c>
      <c r="D22" s="349" t="str">
        <f>+RPCPPE!D44</f>
        <v>KOPPEL 3.0 TR FLOOR MOUNTED INVERTER</v>
      </c>
      <c r="E22" s="350">
        <f>+RPCPPE!I44</f>
        <v>106000</v>
      </c>
      <c r="F22" s="351">
        <f t="shared" si="0"/>
        <v>106000</v>
      </c>
      <c r="G22" s="348">
        <v>3</v>
      </c>
      <c r="H22" s="352">
        <f>+RPCPPE!G44</f>
        <v>44656</v>
      </c>
    </row>
    <row r="23" spans="1:8" ht="33" x14ac:dyDescent="0.25">
      <c r="A23" s="347" t="str">
        <f>+RPCPPE!E45</f>
        <v>2023-NFA-00B-OE-C-022</v>
      </c>
      <c r="B23" s="348">
        <f>+RPCPPE!N45</f>
        <v>1</v>
      </c>
      <c r="C23" s="372" t="str">
        <f>+RPCPPE!H45</f>
        <v>set</v>
      </c>
      <c r="D23" s="349" t="str">
        <f>+RPCPPE!D45</f>
        <v xml:space="preserve">KOPPEL 3.0 TR FLOOR MOUNTED INVERTER SUPER INVERTER </v>
      </c>
      <c r="E23" s="350">
        <f>+RPCPPE!I45</f>
        <v>106610</v>
      </c>
      <c r="F23" s="351">
        <f t="shared" si="0"/>
        <v>106610</v>
      </c>
      <c r="G23" s="348">
        <v>3</v>
      </c>
      <c r="H23" s="352">
        <f>+RPCPPE!G45</f>
        <v>45106</v>
      </c>
    </row>
    <row r="24" spans="1:8" ht="16.5" x14ac:dyDescent="0.25">
      <c r="A24" s="353" t="s">
        <v>711</v>
      </c>
      <c r="B24" s="354"/>
      <c r="C24" s="355"/>
      <c r="D24" s="356" t="s">
        <v>712</v>
      </c>
      <c r="E24" s="353" t="s">
        <v>713</v>
      </c>
      <c r="F24" s="354"/>
      <c r="G24" s="357"/>
      <c r="H24" s="358"/>
    </row>
    <row r="25" spans="1:8" x14ac:dyDescent="0.25">
      <c r="A25" s="359"/>
      <c r="B25" s="360"/>
      <c r="C25" s="361"/>
      <c r="D25" s="362"/>
      <c r="E25" s="359"/>
      <c r="F25" s="360"/>
      <c r="G25" s="363"/>
      <c r="H25" s="364"/>
    </row>
    <row r="26" spans="1:8" x14ac:dyDescent="0.25">
      <c r="A26" s="365"/>
      <c r="B26" s="363"/>
      <c r="C26" s="364"/>
      <c r="D26" s="366"/>
      <c r="E26" s="365"/>
      <c r="F26" s="363"/>
      <c r="G26" s="363"/>
      <c r="H26" s="364"/>
    </row>
    <row r="27" spans="1:8" x14ac:dyDescent="0.25">
      <c r="A27" s="419" t="s">
        <v>84</v>
      </c>
      <c r="B27" s="420"/>
      <c r="C27" s="421"/>
      <c r="D27" s="367" t="s">
        <v>7</v>
      </c>
      <c r="E27" s="419" t="s">
        <v>715</v>
      </c>
      <c r="F27" s="420"/>
      <c r="G27" s="420"/>
      <c r="H27" s="421"/>
    </row>
    <row r="28" spans="1:8" x14ac:dyDescent="0.25">
      <c r="A28" s="422" t="s">
        <v>664</v>
      </c>
      <c r="B28" s="423"/>
      <c r="C28" s="424"/>
      <c r="D28" s="368" t="s">
        <v>717</v>
      </c>
      <c r="E28" s="422" t="s">
        <v>716</v>
      </c>
      <c r="F28" s="423"/>
      <c r="G28" s="423"/>
      <c r="H28" s="424"/>
    </row>
  </sheetData>
  <mergeCells count="9">
    <mergeCell ref="A28:C28"/>
    <mergeCell ref="E28:H28"/>
    <mergeCell ref="A3:H3"/>
    <mergeCell ref="A4:H4"/>
    <mergeCell ref="A5:H5"/>
    <mergeCell ref="A7:H7"/>
    <mergeCell ref="B9:F9"/>
    <mergeCell ref="A27:C27"/>
    <mergeCell ref="E27:H27"/>
  </mergeCells>
  <pageMargins left="0.31496062992125984" right="0.31496062992125984" top="0.35433070866141736" bottom="0.35433070866141736" header="0.11811023622047245" footer="0.11811023622047245"/>
  <pageSetup paperSize="9" scale="95"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1"/>
  <sheetViews>
    <sheetView topLeftCell="A20" zoomScaleNormal="100" workbookViewId="0">
      <selection activeCell="A22" sqref="A22:XFD24"/>
    </sheetView>
  </sheetViews>
  <sheetFormatPr defaultRowHeight="15" x14ac:dyDescent="0.25"/>
  <cols>
    <col min="1" max="1" width="13.42578125" style="344" customWidth="1"/>
    <col min="2" max="2" width="4.7109375" style="344" customWidth="1"/>
    <col min="3" max="3" width="5.5703125" style="344" customWidth="1"/>
    <col min="4" max="4" width="36.42578125" style="344" customWidth="1"/>
    <col min="5" max="5" width="12.42578125" style="344" customWidth="1"/>
    <col min="6" max="6" width="12.5703125" style="344" customWidth="1"/>
    <col min="7" max="7" width="7.7109375" style="344" customWidth="1"/>
    <col min="8" max="8" width="10.28515625" style="344" bestFit="1" customWidth="1"/>
    <col min="9" max="9" width="10.5703125" style="344" customWidth="1"/>
    <col min="10" max="10" width="11.5703125" style="344" customWidth="1"/>
    <col min="11" max="11" width="9.5703125" style="344" customWidth="1"/>
    <col min="12" max="16384" width="9.140625" style="344"/>
  </cols>
  <sheetData>
    <row r="2" spans="1:8" x14ac:dyDescent="0.25">
      <c r="A2" s="277"/>
      <c r="B2" s="277"/>
      <c r="C2" s="277"/>
      <c r="D2" s="277"/>
      <c r="E2" s="277"/>
      <c r="F2" s="277"/>
      <c r="G2" s="277"/>
      <c r="H2" s="277"/>
    </row>
    <row r="3" spans="1:8" x14ac:dyDescent="0.25">
      <c r="A3" s="425" t="s">
        <v>701</v>
      </c>
      <c r="B3" s="425"/>
      <c r="C3" s="425"/>
      <c r="D3" s="425"/>
      <c r="E3" s="425"/>
      <c r="F3" s="425"/>
      <c r="G3" s="425"/>
      <c r="H3" s="425"/>
    </row>
    <row r="4" spans="1:8" x14ac:dyDescent="0.25">
      <c r="A4" s="425" t="s">
        <v>53</v>
      </c>
      <c r="B4" s="425"/>
      <c r="C4" s="425"/>
      <c r="D4" s="425"/>
      <c r="E4" s="425"/>
      <c r="F4" s="425"/>
      <c r="G4" s="425"/>
      <c r="H4" s="425"/>
    </row>
    <row r="5" spans="1:8" x14ac:dyDescent="0.25">
      <c r="A5" s="425" t="s">
        <v>159</v>
      </c>
      <c r="B5" s="425"/>
      <c r="C5" s="425"/>
      <c r="D5" s="425"/>
      <c r="E5" s="425"/>
      <c r="F5" s="425"/>
      <c r="G5" s="425"/>
      <c r="H5" s="425"/>
    </row>
    <row r="6" spans="1:8" x14ac:dyDescent="0.25">
      <c r="A6" s="277"/>
      <c r="B6" s="277"/>
      <c r="C6" s="277"/>
      <c r="D6" s="277"/>
      <c r="E6" s="277"/>
      <c r="F6" s="277"/>
      <c r="G6" s="277"/>
      <c r="H6" s="277"/>
    </row>
    <row r="7" spans="1:8" ht="15.75" x14ac:dyDescent="0.25">
      <c r="A7" s="426" t="s">
        <v>702</v>
      </c>
      <c r="B7" s="426"/>
      <c r="C7" s="426"/>
      <c r="D7" s="426"/>
      <c r="E7" s="426"/>
      <c r="F7" s="426"/>
      <c r="G7" s="426"/>
      <c r="H7" s="426"/>
    </row>
    <row r="8" spans="1:8" x14ac:dyDescent="0.25">
      <c r="A8" s="277"/>
      <c r="B8" s="277"/>
      <c r="C8" s="277"/>
      <c r="D8" s="277"/>
      <c r="E8" s="277"/>
      <c r="F8" s="277"/>
      <c r="G8" s="277"/>
      <c r="H8" s="277"/>
    </row>
    <row r="9" spans="1:8" x14ac:dyDescent="0.25">
      <c r="A9" s="277" t="s">
        <v>703</v>
      </c>
      <c r="B9" s="427">
        <f ca="1">TODAY()</f>
        <v>46037</v>
      </c>
      <c r="C9" s="427"/>
      <c r="D9" s="427"/>
      <c r="E9" s="427"/>
      <c r="F9" s="427"/>
      <c r="G9" s="277"/>
      <c r="H9" s="277"/>
    </row>
    <row r="10" spans="1:8" x14ac:dyDescent="0.25">
      <c r="A10" s="277" t="s">
        <v>704</v>
      </c>
      <c r="B10" s="345" t="s">
        <v>724</v>
      </c>
      <c r="C10" s="346"/>
      <c r="D10" s="277"/>
      <c r="E10" s="277"/>
      <c r="F10" s="277"/>
      <c r="G10" s="277"/>
      <c r="H10" s="277"/>
    </row>
    <row r="11" spans="1:8" x14ac:dyDescent="0.25">
      <c r="A11" s="277"/>
      <c r="B11" s="277"/>
      <c r="C11" s="277"/>
      <c r="D11" s="277"/>
      <c r="E11" s="277"/>
      <c r="F11" s="277"/>
      <c r="G11" s="277"/>
      <c r="H11" s="277"/>
    </row>
    <row r="12" spans="1:8" ht="49.5" x14ac:dyDescent="0.25">
      <c r="A12" s="343" t="s">
        <v>705</v>
      </c>
      <c r="B12" s="343" t="s">
        <v>130</v>
      </c>
      <c r="C12" s="343" t="s">
        <v>706</v>
      </c>
      <c r="D12" s="343" t="s">
        <v>707</v>
      </c>
      <c r="E12" s="343" t="s">
        <v>708</v>
      </c>
      <c r="F12" s="343" t="s">
        <v>709</v>
      </c>
      <c r="G12" s="343" t="s">
        <v>710</v>
      </c>
      <c r="H12" s="343" t="s">
        <v>156</v>
      </c>
    </row>
    <row r="13" spans="1:8" ht="33" x14ac:dyDescent="0.25">
      <c r="A13" s="347" t="str">
        <f>+RPCPPE!E43</f>
        <v>2016-NFA-00B-OE-T-003</v>
      </c>
      <c r="B13" s="348">
        <f>+RPCPPE!N43</f>
        <v>1</v>
      </c>
      <c r="C13" s="372" t="str">
        <f>+RPCPPE!H43</f>
        <v>set</v>
      </c>
      <c r="D13" s="349" t="str">
        <f>+RPCPPE!D43</f>
        <v>CHILLER, 2 DOOR SHOWCASE TYPE, CAPACITY 1,000 LTRS</v>
      </c>
      <c r="E13" s="350">
        <f>+RPCPPE!I43</f>
        <v>68000</v>
      </c>
      <c r="F13" s="351">
        <f>+E13</f>
        <v>68000</v>
      </c>
      <c r="G13" s="348">
        <v>5</v>
      </c>
      <c r="H13" s="352">
        <f>+RPCPPE!G43</f>
        <v>42718</v>
      </c>
    </row>
    <row r="14" spans="1:8" ht="33" x14ac:dyDescent="0.25">
      <c r="A14" s="347" t="str">
        <f>+RPCPPE!E51</f>
        <v>2006-NFA-00B-TS-D-001</v>
      </c>
      <c r="B14" s="348">
        <f>+RPCPPE!N51</f>
        <v>1</v>
      </c>
      <c r="C14" s="372" t="str">
        <f>+RPCPPE!H51</f>
        <v>pc.</v>
      </c>
      <c r="D14" s="349" t="str">
        <f>+RPCPPE!D51</f>
        <v>OHAUS ANALYTICAL BALANCE ADVENTURE 210G X 0.1 MODEL :AR 2140</v>
      </c>
      <c r="E14" s="350">
        <f>+RPCPPE!I51</f>
        <v>80590</v>
      </c>
      <c r="F14" s="351">
        <f>+E14</f>
        <v>80590</v>
      </c>
      <c r="G14" s="348">
        <v>5</v>
      </c>
      <c r="H14" s="352">
        <f>+RPCPPE!G51</f>
        <v>38952</v>
      </c>
    </row>
    <row r="15" spans="1:8" ht="44.25" customHeight="1" x14ac:dyDescent="0.25">
      <c r="A15" s="347" t="str">
        <f>+RPCPPE!E52</f>
        <v>2007-NFA-TRD-TS-D-315</v>
      </c>
      <c r="B15" s="348">
        <f>+RPCPPE!N52</f>
        <v>1</v>
      </c>
      <c r="C15" s="372" t="str">
        <f>+RPCPPE!H52</f>
        <v>pc.</v>
      </c>
      <c r="D15" s="349" t="str">
        <f>+RPCPPE!D52</f>
        <v>OVEN LABORATORY FOR DRYING BINDER BRAND, GERMANY MODEL;ED 53</v>
      </c>
      <c r="E15" s="350">
        <f>+RPCPPE!I52</f>
        <v>55000</v>
      </c>
      <c r="F15" s="351">
        <f>+E15</f>
        <v>55000</v>
      </c>
      <c r="G15" s="348">
        <v>5</v>
      </c>
      <c r="H15" s="352">
        <f>+RPCPPE!G52</f>
        <v>39352</v>
      </c>
    </row>
    <row r="16" spans="1:8" ht="42" customHeight="1" x14ac:dyDescent="0.25">
      <c r="A16" s="347" t="str">
        <f>+RPCPPE!E53</f>
        <v>2011-NFA-TRD-TS-D-1163</v>
      </c>
      <c r="B16" s="348">
        <f>+RPCPPE!N53</f>
        <v>1</v>
      </c>
      <c r="C16" s="372" t="str">
        <f>+RPCPPE!H53</f>
        <v>pc.</v>
      </c>
      <c r="D16" s="349" t="str">
        <f>+RPCPPE!D53</f>
        <v>LABORATORY SAMPLE GRINDER ROMER MILL SERIES W/ ACCESSORIES</v>
      </c>
      <c r="E16" s="350">
        <f>+RPCPPE!I53</f>
        <v>299500</v>
      </c>
      <c r="F16" s="351">
        <f t="shared" ref="F16:F20" si="0">+E16</f>
        <v>299500</v>
      </c>
      <c r="G16" s="348">
        <v>5</v>
      </c>
      <c r="H16" s="352">
        <f>+RPCPPE!G53</f>
        <v>40595</v>
      </c>
    </row>
    <row r="17" spans="1:8" ht="42.75" customHeight="1" x14ac:dyDescent="0.25">
      <c r="A17" s="347" t="str">
        <f>+RPCPPE!E54</f>
        <v>2017-NFA-TRS-TS-D-703</v>
      </c>
      <c r="B17" s="348">
        <f>+RPCPPE!N54</f>
        <v>1</v>
      </c>
      <c r="C17" s="372" t="str">
        <f>+RPCPPE!H54</f>
        <v>pc.</v>
      </c>
      <c r="D17" s="349" t="str">
        <f>+RPCPPE!D54</f>
        <v>ANALYTICAL BALANCE CAPACITY 220G X 0.1MG (BRAND: OHAUS)</v>
      </c>
      <c r="E17" s="350">
        <f>+RPCPPE!I54</f>
        <v>63930</v>
      </c>
      <c r="F17" s="351">
        <f t="shared" si="0"/>
        <v>63930</v>
      </c>
      <c r="G17" s="348">
        <v>5</v>
      </c>
      <c r="H17" s="352">
        <f>+RPCPPE!G54</f>
        <v>42857</v>
      </c>
    </row>
    <row r="18" spans="1:8" ht="33" x14ac:dyDescent="0.25">
      <c r="A18" s="347" t="str">
        <f>+RPCPPE!E55</f>
        <v>2013-NFA-TRS-TS-P-008</v>
      </c>
      <c r="B18" s="348">
        <f>+RPCPPE!N55</f>
        <v>1</v>
      </c>
      <c r="C18" s="372" t="str">
        <f>+RPCPPE!H55</f>
        <v>set</v>
      </c>
      <c r="D18" s="349" t="str">
        <f>+RPCPPE!D55</f>
        <v>LABORATORY POLISHING MACHINE W/ BASIC TOOLS ACCESSORIES</v>
      </c>
      <c r="E18" s="350">
        <f>+RPCPPE!I55</f>
        <v>248000</v>
      </c>
      <c r="F18" s="351">
        <f t="shared" si="0"/>
        <v>248000</v>
      </c>
      <c r="G18" s="348">
        <v>5</v>
      </c>
      <c r="H18" s="352">
        <f>+RPCPPE!G55</f>
        <v>41591</v>
      </c>
    </row>
    <row r="19" spans="1:8" ht="36.75" customHeight="1" x14ac:dyDescent="0.25">
      <c r="A19" s="347" t="str">
        <f>+RPCPPE!E56</f>
        <v>2021-NFA-OCD-TS-P-025</v>
      </c>
      <c r="B19" s="348">
        <f>+RPCPPE!N56</f>
        <v>1</v>
      </c>
      <c r="C19" s="372" t="str">
        <f>+RPCPPE!H56</f>
        <v>set</v>
      </c>
      <c r="D19" s="349" t="str">
        <f>+RPCPPE!D56</f>
        <v>LABORATORY POLISHING MACHINE</v>
      </c>
      <c r="E19" s="350">
        <f>+RPCPPE!I56</f>
        <v>471744</v>
      </c>
      <c r="F19" s="351">
        <f t="shared" si="0"/>
        <v>471744</v>
      </c>
      <c r="G19" s="348">
        <v>5</v>
      </c>
      <c r="H19" s="352">
        <f>+RPCPPE!G56</f>
        <v>44421</v>
      </c>
    </row>
    <row r="20" spans="1:8" ht="35.25" customHeight="1" x14ac:dyDescent="0.25">
      <c r="A20" s="347" t="str">
        <f>+RPCPPE!E57</f>
        <v>2021-NFA-TRS-TS-D-1221</v>
      </c>
      <c r="B20" s="348">
        <f>+RPCPPE!N57</f>
        <v>1</v>
      </c>
      <c r="C20" s="372" t="str">
        <f>+RPCPPE!H57</f>
        <v>set</v>
      </c>
      <c r="D20" s="349" t="str">
        <f>+RPCPPE!D57</f>
        <v>LABORATORY HULLER</v>
      </c>
      <c r="E20" s="350">
        <f>+RPCPPE!I57</f>
        <v>285600</v>
      </c>
      <c r="F20" s="351">
        <f t="shared" si="0"/>
        <v>285600</v>
      </c>
      <c r="G20" s="348">
        <v>5</v>
      </c>
      <c r="H20" s="352">
        <f>+RPCPPE!G57</f>
        <v>44524</v>
      </c>
    </row>
    <row r="21" spans="1:8" ht="16.5" x14ac:dyDescent="0.25">
      <c r="A21" s="347"/>
      <c r="B21" s="348"/>
      <c r="C21" s="372"/>
      <c r="D21" s="373" t="s">
        <v>719</v>
      </c>
      <c r="E21" s="350"/>
      <c r="F21" s="351"/>
      <c r="G21" s="348"/>
      <c r="H21" s="352"/>
    </row>
    <row r="22" spans="1:8" ht="16.5" x14ac:dyDescent="0.25">
      <c r="A22" s="347"/>
      <c r="B22" s="348"/>
      <c r="C22" s="372"/>
      <c r="D22" s="373"/>
      <c r="E22" s="350"/>
      <c r="F22" s="351"/>
      <c r="G22" s="348"/>
      <c r="H22" s="352"/>
    </row>
    <row r="23" spans="1:8" ht="16.5" x14ac:dyDescent="0.25">
      <c r="A23" s="347"/>
      <c r="B23" s="348"/>
      <c r="C23" s="372"/>
      <c r="D23" s="373"/>
      <c r="E23" s="350"/>
      <c r="F23" s="351"/>
      <c r="G23" s="348"/>
      <c r="H23" s="352"/>
    </row>
    <row r="24" spans="1:8" ht="16.5" x14ac:dyDescent="0.25">
      <c r="A24" s="347"/>
      <c r="B24" s="348"/>
      <c r="C24" s="372"/>
      <c r="D24" s="373"/>
      <c r="E24" s="350"/>
      <c r="F24" s="351"/>
      <c r="G24" s="348"/>
      <c r="H24" s="352"/>
    </row>
    <row r="25" spans="1:8" ht="16.5" x14ac:dyDescent="0.25">
      <c r="A25" s="347"/>
      <c r="B25" s="348"/>
      <c r="C25" s="372"/>
      <c r="D25" s="349"/>
      <c r="E25" s="350"/>
      <c r="F25" s="351"/>
      <c r="G25" s="348"/>
      <c r="H25" s="352"/>
    </row>
    <row r="26" spans="1:8" ht="16.5" x14ac:dyDescent="0.25">
      <c r="A26" s="347"/>
      <c r="B26" s="348"/>
      <c r="C26" s="372"/>
      <c r="D26" s="349"/>
      <c r="E26" s="350"/>
      <c r="F26" s="351"/>
      <c r="G26" s="348"/>
      <c r="H26" s="352"/>
    </row>
    <row r="27" spans="1:8" ht="16.5" x14ac:dyDescent="0.25">
      <c r="A27" s="353" t="s">
        <v>711</v>
      </c>
      <c r="B27" s="354"/>
      <c r="C27" s="355"/>
      <c r="D27" s="356" t="s">
        <v>712</v>
      </c>
      <c r="E27" s="353" t="s">
        <v>713</v>
      </c>
      <c r="F27" s="354"/>
      <c r="G27" s="357"/>
      <c r="H27" s="358"/>
    </row>
    <row r="28" spans="1:8" x14ac:dyDescent="0.25">
      <c r="A28" s="359"/>
      <c r="B28" s="360"/>
      <c r="C28" s="361"/>
      <c r="D28" s="362"/>
      <c r="E28" s="359"/>
      <c r="F28" s="360"/>
      <c r="G28" s="363"/>
      <c r="H28" s="364"/>
    </row>
    <row r="29" spans="1:8" x14ac:dyDescent="0.25">
      <c r="A29" s="365"/>
      <c r="B29" s="363"/>
      <c r="C29" s="364"/>
      <c r="D29" s="366"/>
      <c r="E29" s="365"/>
      <c r="F29" s="363"/>
      <c r="G29" s="363"/>
      <c r="H29" s="364"/>
    </row>
    <row r="30" spans="1:8" x14ac:dyDescent="0.25">
      <c r="A30" s="419" t="s">
        <v>84</v>
      </c>
      <c r="B30" s="420"/>
      <c r="C30" s="421"/>
      <c r="D30" s="367" t="s">
        <v>73</v>
      </c>
      <c r="E30" s="419" t="s">
        <v>715</v>
      </c>
      <c r="F30" s="420"/>
      <c r="G30" s="420"/>
      <c r="H30" s="421"/>
    </row>
    <row r="31" spans="1:8" x14ac:dyDescent="0.25">
      <c r="A31" s="422" t="s">
        <v>664</v>
      </c>
      <c r="B31" s="423"/>
      <c r="C31" s="424"/>
      <c r="D31" s="368" t="s">
        <v>722</v>
      </c>
      <c r="E31" s="422" t="s">
        <v>716</v>
      </c>
      <c r="F31" s="423"/>
      <c r="G31" s="423"/>
      <c r="H31" s="424"/>
    </row>
  </sheetData>
  <mergeCells count="9">
    <mergeCell ref="A31:C31"/>
    <mergeCell ref="E31:H31"/>
    <mergeCell ref="A3:H3"/>
    <mergeCell ref="A4:H4"/>
    <mergeCell ref="A5:H5"/>
    <mergeCell ref="A7:H7"/>
    <mergeCell ref="B9:F9"/>
    <mergeCell ref="A30:C30"/>
    <mergeCell ref="E30:H30"/>
  </mergeCells>
  <pageMargins left="0.31496062992125984" right="0.31496062992125984" top="0.35433070866141736" bottom="0.35433070866141736" header="0.11811023622047245" footer="0.11811023622047245"/>
  <pageSetup paperSize="9" scale="95"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42"/>
  <sheetViews>
    <sheetView topLeftCell="A13" zoomScaleNormal="100" zoomScaleSheetLayoutView="100" workbookViewId="0">
      <selection activeCell="D13" sqref="D13"/>
    </sheetView>
  </sheetViews>
  <sheetFormatPr defaultRowHeight="15" x14ac:dyDescent="0.25"/>
  <cols>
    <col min="1" max="1" width="13.42578125" style="344" customWidth="1"/>
    <col min="2" max="2" width="4.7109375" style="344" customWidth="1"/>
    <col min="3" max="3" width="5.5703125" style="344" customWidth="1"/>
    <col min="4" max="4" width="36.42578125" style="344" customWidth="1"/>
    <col min="5" max="5" width="12.42578125" style="344" customWidth="1"/>
    <col min="6" max="6" width="12.5703125" style="344" customWidth="1"/>
    <col min="7" max="7" width="7.7109375" style="344" customWidth="1"/>
    <col min="8" max="8" width="10.28515625" style="344" bestFit="1" customWidth="1"/>
    <col min="9" max="9" width="10.5703125" style="344" customWidth="1"/>
    <col min="10" max="10" width="11.5703125" style="344" customWidth="1"/>
    <col min="11" max="11" width="9.5703125" style="344" customWidth="1"/>
    <col min="12" max="16384" width="9.140625" style="344"/>
  </cols>
  <sheetData>
    <row r="2" spans="1:8" x14ac:dyDescent="0.25">
      <c r="A2" s="277"/>
      <c r="B2" s="277"/>
      <c r="C2" s="277"/>
      <c r="D2" s="277"/>
      <c r="E2" s="277"/>
      <c r="F2" s="277"/>
      <c r="G2" s="277"/>
      <c r="H2" s="277"/>
    </row>
    <row r="3" spans="1:8" x14ac:dyDescent="0.25">
      <c r="A3" s="425" t="s">
        <v>701</v>
      </c>
      <c r="B3" s="425"/>
      <c r="C3" s="425"/>
      <c r="D3" s="425"/>
      <c r="E3" s="425"/>
      <c r="F3" s="425"/>
      <c r="G3" s="425"/>
      <c r="H3" s="425"/>
    </row>
    <row r="4" spans="1:8" x14ac:dyDescent="0.25">
      <c r="A4" s="425" t="s">
        <v>53</v>
      </c>
      <c r="B4" s="425"/>
      <c r="C4" s="425"/>
      <c r="D4" s="425"/>
      <c r="E4" s="425"/>
      <c r="F4" s="425"/>
      <c r="G4" s="425"/>
      <c r="H4" s="425"/>
    </row>
    <row r="5" spans="1:8" x14ac:dyDescent="0.25">
      <c r="A5" s="425" t="s">
        <v>159</v>
      </c>
      <c r="B5" s="425"/>
      <c r="C5" s="425"/>
      <c r="D5" s="425"/>
      <c r="E5" s="425"/>
      <c r="F5" s="425"/>
      <c r="G5" s="425"/>
      <c r="H5" s="425"/>
    </row>
    <row r="6" spans="1:8" x14ac:dyDescent="0.25">
      <c r="A6" s="277"/>
      <c r="B6" s="277"/>
      <c r="C6" s="277"/>
      <c r="D6" s="277"/>
      <c r="E6" s="277"/>
      <c r="F6" s="277"/>
      <c r="G6" s="277"/>
      <c r="H6" s="277"/>
    </row>
    <row r="7" spans="1:8" ht="15.75" x14ac:dyDescent="0.25">
      <c r="A7" s="426" t="s">
        <v>702</v>
      </c>
      <c r="B7" s="426"/>
      <c r="C7" s="426"/>
      <c r="D7" s="426"/>
      <c r="E7" s="426"/>
      <c r="F7" s="426"/>
      <c r="G7" s="426"/>
      <c r="H7" s="426"/>
    </row>
    <row r="8" spans="1:8" x14ac:dyDescent="0.25">
      <c r="A8" s="277"/>
      <c r="B8" s="277"/>
      <c r="C8" s="277"/>
      <c r="D8" s="277"/>
      <c r="E8" s="277"/>
      <c r="F8" s="277"/>
      <c r="G8" s="277"/>
      <c r="H8" s="277"/>
    </row>
    <row r="9" spans="1:8" x14ac:dyDescent="0.25">
      <c r="A9" s="277" t="s">
        <v>703</v>
      </c>
      <c r="B9" s="427">
        <f ca="1">TODAY()</f>
        <v>46037</v>
      </c>
      <c r="C9" s="427"/>
      <c r="D9" s="427"/>
      <c r="E9" s="427"/>
      <c r="F9" s="427"/>
      <c r="G9" s="277"/>
      <c r="H9" s="277"/>
    </row>
    <row r="10" spans="1:8" x14ac:dyDescent="0.25">
      <c r="A10" s="277" t="s">
        <v>704</v>
      </c>
      <c r="B10" s="345" t="s">
        <v>723</v>
      </c>
      <c r="C10" s="346"/>
      <c r="D10" s="277"/>
      <c r="E10" s="277"/>
      <c r="F10" s="277"/>
      <c r="G10" s="277"/>
      <c r="H10" s="277"/>
    </row>
    <row r="11" spans="1:8" x14ac:dyDescent="0.25">
      <c r="A11" s="277"/>
      <c r="B11" s="277"/>
      <c r="C11" s="277"/>
      <c r="D11" s="277"/>
      <c r="E11" s="277"/>
      <c r="F11" s="277"/>
      <c r="G11" s="277"/>
      <c r="H11" s="277"/>
    </row>
    <row r="12" spans="1:8" ht="49.5" x14ac:dyDescent="0.25">
      <c r="A12" s="343" t="s">
        <v>705</v>
      </c>
      <c r="B12" s="343" t="s">
        <v>130</v>
      </c>
      <c r="C12" s="343" t="s">
        <v>706</v>
      </c>
      <c r="D12" s="343" t="s">
        <v>707</v>
      </c>
      <c r="E12" s="343" t="s">
        <v>708</v>
      </c>
      <c r="F12" s="343" t="s">
        <v>709</v>
      </c>
      <c r="G12" s="343" t="s">
        <v>710</v>
      </c>
      <c r="H12" s="343" t="s">
        <v>156</v>
      </c>
    </row>
    <row r="13" spans="1:8" ht="33" x14ac:dyDescent="0.25">
      <c r="A13" s="347" t="str">
        <f>+RPCPPE!E35</f>
        <v>2006-NFA-GSD-LT-C-132</v>
      </c>
      <c r="B13" s="348">
        <f>+RPCPPE!N35</f>
        <v>1</v>
      </c>
      <c r="C13" s="372" t="str">
        <f>+RPCPPE!H35</f>
        <v>unit</v>
      </c>
      <c r="D13" s="349" t="str">
        <f>+RPCPPE!D35</f>
        <v xml:space="preserve">TOYOTA INNOVA DSL MODEL 2005 ENGINE # 2KD-9547460 </v>
      </c>
      <c r="E13" s="350">
        <f>+RPCPPE!I35</f>
        <v>848000</v>
      </c>
      <c r="F13" s="351">
        <f>+E13</f>
        <v>848000</v>
      </c>
      <c r="G13" s="348">
        <v>7</v>
      </c>
      <c r="H13" s="352">
        <f>+RPCPPE!G35</f>
        <v>38737</v>
      </c>
    </row>
    <row r="14" spans="1:8" ht="16.5" x14ac:dyDescent="0.25">
      <c r="A14" s="347"/>
      <c r="B14" s="348"/>
      <c r="C14" s="372"/>
      <c r="D14" s="373" t="s">
        <v>719</v>
      </c>
      <c r="E14" s="350"/>
      <c r="F14" s="351"/>
      <c r="G14" s="348"/>
      <c r="H14" s="352"/>
    </row>
    <row r="15" spans="1:8" ht="16.5" x14ac:dyDescent="0.25">
      <c r="A15" s="347"/>
      <c r="B15" s="348"/>
      <c r="C15" s="372"/>
      <c r="D15" s="349"/>
      <c r="E15" s="350"/>
      <c r="F15" s="351"/>
      <c r="G15" s="348"/>
      <c r="H15" s="352"/>
    </row>
    <row r="16" spans="1:8" ht="16.5" x14ac:dyDescent="0.25">
      <c r="A16" s="347"/>
      <c r="B16" s="348"/>
      <c r="C16" s="372"/>
      <c r="D16" s="349"/>
      <c r="E16" s="350"/>
      <c r="F16" s="351"/>
      <c r="G16" s="348"/>
      <c r="H16" s="352"/>
    </row>
    <row r="17" spans="1:8" ht="16.5" x14ac:dyDescent="0.25">
      <c r="A17" s="347"/>
      <c r="B17" s="348"/>
      <c r="C17" s="372"/>
      <c r="D17" s="349"/>
      <c r="E17" s="350"/>
      <c r="F17" s="351"/>
      <c r="G17" s="348"/>
      <c r="H17" s="352"/>
    </row>
    <row r="18" spans="1:8" ht="16.5" x14ac:dyDescent="0.25">
      <c r="A18" s="347"/>
      <c r="B18" s="348"/>
      <c r="C18" s="372"/>
      <c r="D18" s="349"/>
      <c r="E18" s="350"/>
      <c r="F18" s="351"/>
      <c r="G18" s="348"/>
      <c r="H18" s="352"/>
    </row>
    <row r="19" spans="1:8" ht="16.5" x14ac:dyDescent="0.25">
      <c r="A19" s="347"/>
      <c r="B19" s="348"/>
      <c r="C19" s="372"/>
      <c r="D19" s="349"/>
      <c r="E19" s="350"/>
      <c r="F19" s="351"/>
      <c r="G19" s="348"/>
      <c r="H19" s="352"/>
    </row>
    <row r="20" spans="1:8" ht="16.5" x14ac:dyDescent="0.25">
      <c r="A20" s="347"/>
      <c r="B20" s="348"/>
      <c r="C20" s="372"/>
      <c r="D20" s="349"/>
      <c r="E20" s="350"/>
      <c r="F20" s="351"/>
      <c r="G20" s="348"/>
      <c r="H20" s="352"/>
    </row>
    <row r="21" spans="1:8" ht="16.5" x14ac:dyDescent="0.25">
      <c r="A21" s="347"/>
      <c r="B21" s="348"/>
      <c r="C21" s="372"/>
      <c r="D21" s="349"/>
      <c r="E21" s="350"/>
      <c r="F21" s="351"/>
      <c r="G21" s="348"/>
      <c r="H21" s="352"/>
    </row>
    <row r="22" spans="1:8" ht="16.5" x14ac:dyDescent="0.25">
      <c r="A22" s="347"/>
      <c r="B22" s="348"/>
      <c r="C22" s="372"/>
      <c r="D22" s="349"/>
      <c r="E22" s="350"/>
      <c r="F22" s="351"/>
      <c r="G22" s="348"/>
      <c r="H22" s="352"/>
    </row>
    <row r="23" spans="1:8" ht="16.5" x14ac:dyDescent="0.25">
      <c r="A23" s="347"/>
      <c r="B23" s="348"/>
      <c r="C23" s="372"/>
      <c r="D23" s="349"/>
      <c r="E23" s="350"/>
      <c r="F23" s="351"/>
      <c r="G23" s="348"/>
      <c r="H23" s="352"/>
    </row>
    <row r="24" spans="1:8" ht="16.5" x14ac:dyDescent="0.25">
      <c r="A24" s="347"/>
      <c r="B24" s="348"/>
      <c r="C24" s="372"/>
      <c r="D24" s="349"/>
      <c r="E24" s="350"/>
      <c r="F24" s="351"/>
      <c r="G24" s="348"/>
      <c r="H24" s="352"/>
    </row>
    <row r="25" spans="1:8" ht="16.5" x14ac:dyDescent="0.25">
      <c r="A25" s="347"/>
      <c r="B25" s="348"/>
      <c r="C25" s="372"/>
      <c r="D25" s="349"/>
      <c r="E25" s="350"/>
      <c r="F25" s="351"/>
      <c r="G25" s="348"/>
      <c r="H25" s="352"/>
    </row>
    <row r="26" spans="1:8" ht="16.5" x14ac:dyDescent="0.25">
      <c r="A26" s="347"/>
      <c r="B26" s="348"/>
      <c r="C26" s="372"/>
      <c r="D26" s="349"/>
      <c r="E26" s="350"/>
      <c r="F26" s="351"/>
      <c r="G26" s="348"/>
      <c r="H26" s="352"/>
    </row>
    <row r="27" spans="1:8" ht="16.5" x14ac:dyDescent="0.25">
      <c r="A27" s="347"/>
      <c r="B27" s="348"/>
      <c r="C27" s="372"/>
      <c r="D27" s="349"/>
      <c r="E27" s="350"/>
      <c r="F27" s="351"/>
      <c r="G27" s="348"/>
      <c r="H27" s="352"/>
    </row>
    <row r="28" spans="1:8" ht="16.5" x14ac:dyDescent="0.25">
      <c r="A28" s="347"/>
      <c r="B28" s="348"/>
      <c r="C28" s="372"/>
      <c r="D28" s="349"/>
      <c r="E28" s="350"/>
      <c r="F28" s="351"/>
      <c r="G28" s="348"/>
      <c r="H28" s="352"/>
    </row>
    <row r="29" spans="1:8" ht="16.5" x14ac:dyDescent="0.25">
      <c r="A29" s="347"/>
      <c r="B29" s="348"/>
      <c r="C29" s="372"/>
      <c r="D29" s="349"/>
      <c r="E29" s="350"/>
      <c r="F29" s="351"/>
      <c r="G29" s="348"/>
      <c r="H29" s="352"/>
    </row>
    <row r="30" spans="1:8" ht="16.5" x14ac:dyDescent="0.25">
      <c r="A30" s="347"/>
      <c r="B30" s="348"/>
      <c r="C30" s="372"/>
      <c r="D30" s="349"/>
      <c r="E30" s="350"/>
      <c r="F30" s="351"/>
      <c r="G30" s="348"/>
      <c r="H30" s="352"/>
    </row>
    <row r="31" spans="1:8" ht="16.5" x14ac:dyDescent="0.25">
      <c r="A31" s="347"/>
      <c r="B31" s="348"/>
      <c r="C31" s="372"/>
      <c r="D31" s="349"/>
      <c r="E31" s="350"/>
      <c r="F31" s="351"/>
      <c r="G31" s="348"/>
      <c r="H31" s="352"/>
    </row>
    <row r="32" spans="1:8" ht="16.5" x14ac:dyDescent="0.25">
      <c r="A32" s="347"/>
      <c r="B32" s="348"/>
      <c r="C32" s="372"/>
      <c r="D32" s="349"/>
      <c r="E32" s="350"/>
      <c r="F32" s="351"/>
      <c r="G32" s="348"/>
      <c r="H32" s="352"/>
    </row>
    <row r="33" spans="1:8" ht="16.5" x14ac:dyDescent="0.25">
      <c r="A33" s="347"/>
      <c r="B33" s="348"/>
      <c r="C33" s="372"/>
      <c r="D33" s="349"/>
      <c r="E33" s="350"/>
      <c r="F33" s="351"/>
      <c r="G33" s="348"/>
      <c r="H33" s="352"/>
    </row>
    <row r="34" spans="1:8" ht="16.5" x14ac:dyDescent="0.25">
      <c r="A34" s="347"/>
      <c r="B34" s="348"/>
      <c r="C34" s="372"/>
      <c r="D34" s="349"/>
      <c r="E34" s="350"/>
      <c r="F34" s="351"/>
      <c r="G34" s="348"/>
      <c r="H34" s="352"/>
    </row>
    <row r="35" spans="1:8" ht="16.5" x14ac:dyDescent="0.25">
      <c r="A35" s="347"/>
      <c r="B35" s="348"/>
      <c r="C35" s="372"/>
      <c r="D35" s="373"/>
      <c r="E35" s="350"/>
      <c r="F35" s="351"/>
      <c r="G35" s="348"/>
      <c r="H35" s="352"/>
    </row>
    <row r="36" spans="1:8" ht="16.5" x14ac:dyDescent="0.25">
      <c r="A36" s="347"/>
      <c r="B36" s="348"/>
      <c r="C36" s="372"/>
      <c r="D36" s="349"/>
      <c r="E36" s="350"/>
      <c r="F36" s="351"/>
      <c r="G36" s="348"/>
      <c r="H36" s="352"/>
    </row>
    <row r="37" spans="1:8" ht="16.5" x14ac:dyDescent="0.25">
      <c r="A37" s="347"/>
      <c r="B37" s="348"/>
      <c r="C37" s="372"/>
      <c r="D37" s="349"/>
      <c r="E37" s="350"/>
      <c r="F37" s="351"/>
      <c r="G37" s="348"/>
      <c r="H37" s="352"/>
    </row>
    <row r="38" spans="1:8" ht="16.5" x14ac:dyDescent="0.25">
      <c r="A38" s="353" t="s">
        <v>711</v>
      </c>
      <c r="B38" s="354"/>
      <c r="C38" s="355"/>
      <c r="D38" s="356" t="s">
        <v>712</v>
      </c>
      <c r="E38" s="353" t="s">
        <v>713</v>
      </c>
      <c r="F38" s="354"/>
      <c r="G38" s="357"/>
      <c r="H38" s="358"/>
    </row>
    <row r="39" spans="1:8" x14ac:dyDescent="0.25">
      <c r="A39" s="359"/>
      <c r="B39" s="360"/>
      <c r="C39" s="361"/>
      <c r="D39" s="362"/>
      <c r="E39" s="359"/>
      <c r="F39" s="360"/>
      <c r="G39" s="363"/>
      <c r="H39" s="364"/>
    </row>
    <row r="40" spans="1:8" x14ac:dyDescent="0.25">
      <c r="A40" s="365"/>
      <c r="B40" s="363"/>
      <c r="C40" s="364"/>
      <c r="D40" s="366"/>
      <c r="E40" s="365"/>
      <c r="F40" s="363"/>
      <c r="G40" s="363"/>
      <c r="H40" s="364"/>
    </row>
    <row r="41" spans="1:8" x14ac:dyDescent="0.25">
      <c r="A41" s="419" t="s">
        <v>84</v>
      </c>
      <c r="B41" s="420"/>
      <c r="C41" s="421"/>
      <c r="D41" s="367" t="s">
        <v>125</v>
      </c>
      <c r="E41" s="419" t="s">
        <v>715</v>
      </c>
      <c r="F41" s="420"/>
      <c r="G41" s="420"/>
      <c r="H41" s="421"/>
    </row>
    <row r="42" spans="1:8" x14ac:dyDescent="0.25">
      <c r="A42" s="422" t="s">
        <v>664</v>
      </c>
      <c r="B42" s="423"/>
      <c r="C42" s="424"/>
      <c r="D42" s="368" t="s">
        <v>721</v>
      </c>
      <c r="E42" s="422" t="s">
        <v>716</v>
      </c>
      <c r="F42" s="423"/>
      <c r="G42" s="423"/>
      <c r="H42" s="424"/>
    </row>
  </sheetData>
  <mergeCells count="9">
    <mergeCell ref="A42:C42"/>
    <mergeCell ref="E42:H42"/>
    <mergeCell ref="A3:H3"/>
    <mergeCell ref="A4:H4"/>
    <mergeCell ref="A5:H5"/>
    <mergeCell ref="A7:H7"/>
    <mergeCell ref="B9:F9"/>
    <mergeCell ref="A41:C41"/>
    <mergeCell ref="E41:H41"/>
  </mergeCells>
  <pageMargins left="0.31496062992125984" right="0.31496062992125984" top="0.35433070866141736" bottom="0.35433070866141736" header="0.11811023622047245" footer="0.11811023622047245"/>
  <pageSetup paperSize="9" scale="95"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42"/>
  <sheetViews>
    <sheetView topLeftCell="A22" zoomScaleNormal="100" zoomScaleSheetLayoutView="100" workbookViewId="0">
      <selection activeCell="A13" sqref="A13:XFD13"/>
    </sheetView>
  </sheetViews>
  <sheetFormatPr defaultRowHeight="15" x14ac:dyDescent="0.25"/>
  <cols>
    <col min="1" max="1" width="13.42578125" style="344" customWidth="1"/>
    <col min="2" max="2" width="4.7109375" style="344" customWidth="1"/>
    <col min="3" max="3" width="5.5703125" style="344" customWidth="1"/>
    <col min="4" max="4" width="36.42578125" style="344" customWidth="1"/>
    <col min="5" max="5" width="12.42578125" style="344" customWidth="1"/>
    <col min="6" max="6" width="12.5703125" style="344" customWidth="1"/>
    <col min="7" max="7" width="7.7109375" style="344" customWidth="1"/>
    <col min="8" max="8" width="10.28515625" style="344" bestFit="1" customWidth="1"/>
    <col min="9" max="9" width="10.5703125" style="344" customWidth="1"/>
    <col min="10" max="10" width="11.5703125" style="344" customWidth="1"/>
    <col min="11" max="11" width="9.5703125" style="344" customWidth="1"/>
    <col min="12" max="16384" width="9.140625" style="344"/>
  </cols>
  <sheetData>
    <row r="2" spans="1:8" x14ac:dyDescent="0.25">
      <c r="A2" s="277"/>
      <c r="B2" s="277"/>
      <c r="C2" s="277"/>
      <c r="D2" s="277"/>
      <c r="E2" s="277"/>
      <c r="F2" s="277"/>
      <c r="G2" s="277"/>
      <c r="H2" s="277"/>
    </row>
    <row r="3" spans="1:8" x14ac:dyDescent="0.25">
      <c r="A3" s="425" t="s">
        <v>701</v>
      </c>
      <c r="B3" s="425"/>
      <c r="C3" s="425"/>
      <c r="D3" s="425"/>
      <c r="E3" s="425"/>
      <c r="F3" s="425"/>
      <c r="G3" s="425"/>
      <c r="H3" s="425"/>
    </row>
    <row r="4" spans="1:8" x14ac:dyDescent="0.25">
      <c r="A4" s="425" t="s">
        <v>53</v>
      </c>
      <c r="B4" s="425"/>
      <c r="C4" s="425"/>
      <c r="D4" s="425"/>
      <c r="E4" s="425"/>
      <c r="F4" s="425"/>
      <c r="G4" s="425"/>
      <c r="H4" s="425"/>
    </row>
    <row r="5" spans="1:8" x14ac:dyDescent="0.25">
      <c r="A5" s="425" t="s">
        <v>159</v>
      </c>
      <c r="B5" s="425"/>
      <c r="C5" s="425"/>
      <c r="D5" s="425"/>
      <c r="E5" s="425"/>
      <c r="F5" s="425"/>
      <c r="G5" s="425"/>
      <c r="H5" s="425"/>
    </row>
    <row r="6" spans="1:8" x14ac:dyDescent="0.25">
      <c r="A6" s="277"/>
      <c r="B6" s="277"/>
      <c r="C6" s="277"/>
      <c r="D6" s="277"/>
      <c r="E6" s="277"/>
      <c r="F6" s="277"/>
      <c r="G6" s="277"/>
      <c r="H6" s="277"/>
    </row>
    <row r="7" spans="1:8" ht="15.75" x14ac:dyDescent="0.25">
      <c r="A7" s="426" t="s">
        <v>702</v>
      </c>
      <c r="B7" s="426"/>
      <c r="C7" s="426"/>
      <c r="D7" s="426"/>
      <c r="E7" s="426"/>
      <c r="F7" s="426"/>
      <c r="G7" s="426"/>
      <c r="H7" s="426"/>
    </row>
    <row r="8" spans="1:8" x14ac:dyDescent="0.25">
      <c r="A8" s="277"/>
      <c r="B8" s="277"/>
      <c r="C8" s="277"/>
      <c r="D8" s="277"/>
      <c r="E8" s="277"/>
      <c r="F8" s="277"/>
      <c r="G8" s="277"/>
      <c r="H8" s="277"/>
    </row>
    <row r="9" spans="1:8" x14ac:dyDescent="0.25">
      <c r="A9" s="277" t="s">
        <v>703</v>
      </c>
      <c r="B9" s="427">
        <f ca="1">TODAY()</f>
        <v>46037</v>
      </c>
      <c r="C9" s="427"/>
      <c r="D9" s="427"/>
      <c r="E9" s="427"/>
      <c r="F9" s="427"/>
      <c r="G9" s="277"/>
      <c r="H9" s="277"/>
    </row>
    <row r="10" spans="1:8" x14ac:dyDescent="0.25">
      <c r="A10" s="277" t="s">
        <v>704</v>
      </c>
      <c r="B10" s="345" t="s">
        <v>725</v>
      </c>
      <c r="C10" s="346"/>
      <c r="D10" s="277"/>
      <c r="E10" s="277"/>
      <c r="F10" s="277"/>
      <c r="G10" s="277"/>
      <c r="H10" s="277"/>
    </row>
    <row r="11" spans="1:8" x14ac:dyDescent="0.25">
      <c r="A11" s="277"/>
      <c r="B11" s="277"/>
      <c r="C11" s="277"/>
      <c r="D11" s="277"/>
      <c r="E11" s="277"/>
      <c r="F11" s="277"/>
      <c r="G11" s="277"/>
      <c r="H11" s="277"/>
    </row>
    <row r="12" spans="1:8" ht="49.5" x14ac:dyDescent="0.25">
      <c r="A12" s="343" t="s">
        <v>705</v>
      </c>
      <c r="B12" s="343" t="s">
        <v>130</v>
      </c>
      <c r="C12" s="343" t="s">
        <v>706</v>
      </c>
      <c r="D12" s="343" t="s">
        <v>707</v>
      </c>
      <c r="E12" s="343" t="s">
        <v>708</v>
      </c>
      <c r="F12" s="343" t="s">
        <v>709</v>
      </c>
      <c r="G12" s="343" t="s">
        <v>710</v>
      </c>
      <c r="H12" s="343" t="s">
        <v>156</v>
      </c>
    </row>
    <row r="13" spans="1:8" ht="49.5" x14ac:dyDescent="0.25">
      <c r="A13" s="347" t="str">
        <f>+RPCPPE!E36</f>
        <v>2016-NFA-GSD-LT-C-203</v>
      </c>
      <c r="B13" s="348">
        <f>+RPCPPE!N36</f>
        <v>1</v>
      </c>
      <c r="C13" s="372" t="str">
        <f>+RPCPPE!H36</f>
        <v>unit</v>
      </c>
      <c r="D13" s="349" t="str">
        <f>+RPCPPE!D36</f>
        <v>ISUZU CROSSWIND SPORTIVO ENGINE # 4JA1M57459 CHASSIS # PABTBBR54FG2089995</v>
      </c>
      <c r="E13" s="350">
        <f>+RPCPPE!I36</f>
        <v>1180000</v>
      </c>
      <c r="F13" s="351">
        <f>+E13</f>
        <v>1180000</v>
      </c>
      <c r="G13" s="348">
        <v>8</v>
      </c>
      <c r="H13" s="352">
        <f>+RPCPPE!G36</f>
        <v>42636</v>
      </c>
    </row>
    <row r="14" spans="1:8" ht="16.5" x14ac:dyDescent="0.25">
      <c r="A14" s="347"/>
      <c r="B14" s="348"/>
      <c r="C14" s="372"/>
      <c r="D14" s="373" t="s">
        <v>719</v>
      </c>
      <c r="E14" s="350"/>
      <c r="F14" s="351"/>
      <c r="G14" s="348"/>
      <c r="H14" s="352"/>
    </row>
    <row r="15" spans="1:8" ht="16.5" x14ac:dyDescent="0.25">
      <c r="A15" s="347"/>
      <c r="B15" s="348"/>
      <c r="C15" s="372"/>
      <c r="D15" s="349"/>
      <c r="E15" s="350"/>
      <c r="F15" s="351"/>
      <c r="G15" s="348"/>
      <c r="H15" s="352"/>
    </row>
    <row r="16" spans="1:8" ht="16.5" x14ac:dyDescent="0.25">
      <c r="A16" s="347"/>
      <c r="B16" s="348"/>
      <c r="C16" s="372"/>
      <c r="D16" s="349"/>
      <c r="E16" s="350"/>
      <c r="F16" s="351"/>
      <c r="G16" s="348"/>
      <c r="H16" s="352"/>
    </row>
    <row r="17" spans="1:8" ht="16.5" x14ac:dyDescent="0.25">
      <c r="A17" s="347"/>
      <c r="B17" s="348"/>
      <c r="C17" s="372"/>
      <c r="D17" s="349"/>
      <c r="E17" s="350"/>
      <c r="F17" s="351"/>
      <c r="G17" s="348"/>
      <c r="H17" s="352"/>
    </row>
    <row r="18" spans="1:8" ht="16.5" x14ac:dyDescent="0.25">
      <c r="A18" s="347"/>
      <c r="B18" s="348"/>
      <c r="C18" s="372"/>
      <c r="D18" s="349"/>
      <c r="E18" s="350"/>
      <c r="F18" s="351"/>
      <c r="G18" s="348"/>
      <c r="H18" s="352"/>
    </row>
    <row r="19" spans="1:8" ht="16.5" x14ac:dyDescent="0.25">
      <c r="A19" s="347"/>
      <c r="B19" s="348"/>
      <c r="C19" s="372"/>
      <c r="D19" s="349"/>
      <c r="E19" s="350"/>
      <c r="F19" s="351"/>
      <c r="G19" s="348"/>
      <c r="H19" s="352"/>
    </row>
    <row r="20" spans="1:8" ht="16.5" x14ac:dyDescent="0.25">
      <c r="A20" s="347"/>
      <c r="B20" s="348"/>
      <c r="C20" s="372"/>
      <c r="D20" s="349"/>
      <c r="E20" s="350"/>
      <c r="F20" s="351"/>
      <c r="G20" s="348"/>
      <c r="H20" s="352"/>
    </row>
    <row r="21" spans="1:8" ht="16.5" x14ac:dyDescent="0.25">
      <c r="A21" s="347"/>
      <c r="B21" s="348"/>
      <c r="C21" s="372"/>
      <c r="D21" s="349"/>
      <c r="E21" s="350"/>
      <c r="F21" s="351"/>
      <c r="G21" s="348"/>
      <c r="H21" s="352"/>
    </row>
    <row r="22" spans="1:8" ht="16.5" x14ac:dyDescent="0.25">
      <c r="A22" s="347"/>
      <c r="B22" s="348"/>
      <c r="C22" s="372"/>
      <c r="D22" s="349"/>
      <c r="E22" s="350"/>
      <c r="F22" s="351"/>
      <c r="G22" s="348"/>
      <c r="H22" s="352"/>
    </row>
    <row r="23" spans="1:8" ht="16.5" x14ac:dyDescent="0.25">
      <c r="A23" s="347"/>
      <c r="B23" s="348"/>
      <c r="C23" s="372"/>
      <c r="D23" s="349"/>
      <c r="E23" s="350"/>
      <c r="F23" s="351"/>
      <c r="G23" s="348"/>
      <c r="H23" s="352"/>
    </row>
    <row r="24" spans="1:8" ht="16.5" x14ac:dyDescent="0.25">
      <c r="A24" s="347"/>
      <c r="B24" s="348"/>
      <c r="C24" s="372"/>
      <c r="D24" s="349"/>
      <c r="E24" s="350"/>
      <c r="F24" s="351"/>
      <c r="G24" s="348"/>
      <c r="H24" s="352"/>
    </row>
    <row r="25" spans="1:8" ht="16.5" x14ac:dyDescent="0.25">
      <c r="A25" s="347"/>
      <c r="B25" s="348"/>
      <c r="C25" s="372"/>
      <c r="D25" s="349"/>
      <c r="E25" s="350"/>
      <c r="F25" s="351"/>
      <c r="G25" s="348"/>
      <c r="H25" s="352"/>
    </row>
    <row r="26" spans="1:8" ht="16.5" x14ac:dyDescent="0.25">
      <c r="A26" s="347"/>
      <c r="B26" s="348"/>
      <c r="C26" s="372"/>
      <c r="D26" s="349"/>
      <c r="E26" s="350"/>
      <c r="F26" s="351"/>
      <c r="G26" s="348"/>
      <c r="H26" s="352"/>
    </row>
    <row r="27" spans="1:8" ht="16.5" x14ac:dyDescent="0.25">
      <c r="A27" s="347"/>
      <c r="B27" s="348"/>
      <c r="C27" s="372"/>
      <c r="D27" s="349"/>
      <c r="E27" s="350"/>
      <c r="F27" s="351"/>
      <c r="G27" s="348"/>
      <c r="H27" s="352"/>
    </row>
    <row r="28" spans="1:8" ht="16.5" x14ac:dyDescent="0.25">
      <c r="A28" s="347"/>
      <c r="B28" s="348"/>
      <c r="C28" s="372"/>
      <c r="D28" s="349"/>
      <c r="E28" s="350"/>
      <c r="F28" s="351"/>
      <c r="G28" s="348"/>
      <c r="H28" s="352"/>
    </row>
    <row r="29" spans="1:8" ht="16.5" x14ac:dyDescent="0.25">
      <c r="A29" s="347"/>
      <c r="B29" s="348"/>
      <c r="C29" s="372"/>
      <c r="D29" s="349"/>
      <c r="E29" s="350"/>
      <c r="F29" s="351"/>
      <c r="G29" s="348"/>
      <c r="H29" s="352"/>
    </row>
    <row r="30" spans="1:8" ht="16.5" x14ac:dyDescent="0.25">
      <c r="A30" s="347"/>
      <c r="B30" s="348"/>
      <c r="C30" s="372"/>
      <c r="D30" s="349"/>
      <c r="E30" s="350"/>
      <c r="F30" s="351"/>
      <c r="G30" s="348"/>
      <c r="H30" s="352"/>
    </row>
    <row r="31" spans="1:8" ht="16.5" x14ac:dyDescent="0.25">
      <c r="A31" s="347"/>
      <c r="B31" s="348"/>
      <c r="C31" s="372"/>
      <c r="D31" s="349"/>
      <c r="E31" s="350"/>
      <c r="F31" s="351"/>
      <c r="G31" s="348"/>
      <c r="H31" s="352"/>
    </row>
    <row r="32" spans="1:8" ht="16.5" x14ac:dyDescent="0.25">
      <c r="A32" s="347"/>
      <c r="B32" s="348"/>
      <c r="C32" s="372"/>
      <c r="D32" s="349"/>
      <c r="E32" s="350"/>
      <c r="F32" s="351"/>
      <c r="G32" s="348"/>
      <c r="H32" s="352"/>
    </row>
    <row r="33" spans="1:8" ht="16.5" x14ac:dyDescent="0.25">
      <c r="A33" s="347"/>
      <c r="B33" s="348"/>
      <c r="C33" s="372"/>
      <c r="D33" s="349"/>
      <c r="E33" s="350"/>
      <c r="F33" s="351"/>
      <c r="G33" s="348"/>
      <c r="H33" s="352"/>
    </row>
    <row r="34" spans="1:8" ht="16.5" x14ac:dyDescent="0.25">
      <c r="A34" s="347"/>
      <c r="B34" s="348"/>
      <c r="C34" s="372"/>
      <c r="D34" s="349"/>
      <c r="E34" s="350"/>
      <c r="F34" s="351"/>
      <c r="G34" s="348"/>
      <c r="H34" s="352"/>
    </row>
    <row r="35" spans="1:8" ht="16.5" x14ac:dyDescent="0.25">
      <c r="A35" s="347"/>
      <c r="B35" s="348"/>
      <c r="C35" s="372"/>
      <c r="D35" s="373"/>
      <c r="E35" s="350"/>
      <c r="F35" s="351"/>
      <c r="G35" s="348"/>
      <c r="H35" s="352"/>
    </row>
    <row r="36" spans="1:8" ht="16.5" x14ac:dyDescent="0.25">
      <c r="A36" s="347"/>
      <c r="B36" s="348"/>
      <c r="C36" s="372"/>
      <c r="D36" s="349"/>
      <c r="E36" s="350"/>
      <c r="F36" s="351"/>
      <c r="G36" s="348"/>
      <c r="H36" s="352"/>
    </row>
    <row r="37" spans="1:8" ht="16.5" x14ac:dyDescent="0.25">
      <c r="A37" s="347"/>
      <c r="B37" s="348"/>
      <c r="C37" s="372"/>
      <c r="D37" s="349"/>
      <c r="E37" s="350"/>
      <c r="F37" s="351"/>
      <c r="G37" s="348"/>
      <c r="H37" s="352"/>
    </row>
    <row r="38" spans="1:8" ht="16.5" x14ac:dyDescent="0.25">
      <c r="A38" s="353" t="s">
        <v>711</v>
      </c>
      <c r="B38" s="354"/>
      <c r="C38" s="355"/>
      <c r="D38" s="356" t="s">
        <v>712</v>
      </c>
      <c r="E38" s="353" t="s">
        <v>713</v>
      </c>
      <c r="F38" s="354"/>
      <c r="G38" s="357"/>
      <c r="H38" s="358"/>
    </row>
    <row r="39" spans="1:8" x14ac:dyDescent="0.25">
      <c r="A39" s="359"/>
      <c r="B39" s="360"/>
      <c r="C39" s="361"/>
      <c r="D39" s="362"/>
      <c r="E39" s="359"/>
      <c r="F39" s="360"/>
      <c r="G39" s="363"/>
      <c r="H39" s="364"/>
    </row>
    <row r="40" spans="1:8" x14ac:dyDescent="0.25">
      <c r="A40" s="365"/>
      <c r="B40" s="363"/>
      <c r="C40" s="364"/>
      <c r="D40" s="366"/>
      <c r="E40" s="365"/>
      <c r="F40" s="363"/>
      <c r="G40" s="363"/>
      <c r="H40" s="364"/>
    </row>
    <row r="41" spans="1:8" x14ac:dyDescent="0.25">
      <c r="A41" s="419" t="s">
        <v>84</v>
      </c>
      <c r="B41" s="420"/>
      <c r="C41" s="421"/>
      <c r="D41" s="367" t="s">
        <v>75</v>
      </c>
      <c r="E41" s="419" t="s">
        <v>715</v>
      </c>
      <c r="F41" s="420"/>
      <c r="G41" s="420"/>
      <c r="H41" s="421"/>
    </row>
    <row r="42" spans="1:8" x14ac:dyDescent="0.25">
      <c r="A42" s="422" t="s">
        <v>664</v>
      </c>
      <c r="B42" s="423"/>
      <c r="C42" s="424"/>
      <c r="D42" s="368" t="s">
        <v>721</v>
      </c>
      <c r="E42" s="422" t="s">
        <v>716</v>
      </c>
      <c r="F42" s="423"/>
      <c r="G42" s="423"/>
      <c r="H42" s="424"/>
    </row>
  </sheetData>
  <mergeCells count="9">
    <mergeCell ref="A42:C42"/>
    <mergeCell ref="E42:H42"/>
    <mergeCell ref="A3:H3"/>
    <mergeCell ref="A4:H4"/>
    <mergeCell ref="A5:H5"/>
    <mergeCell ref="A7:H7"/>
    <mergeCell ref="B9:F9"/>
    <mergeCell ref="A41:C41"/>
    <mergeCell ref="E41:H41"/>
  </mergeCells>
  <pageMargins left="0.31496062992125984" right="0.31496062992125984" top="0.35433070866141736" bottom="0.35433070866141736" header="0.11811023622047245" footer="0.11811023622047245"/>
  <pageSetup paperSize="9" scale="95"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42"/>
  <sheetViews>
    <sheetView zoomScaleNormal="100" zoomScaleSheetLayoutView="100" workbookViewId="0">
      <selection activeCell="D14" sqref="D14"/>
    </sheetView>
  </sheetViews>
  <sheetFormatPr defaultRowHeight="15" x14ac:dyDescent="0.25"/>
  <cols>
    <col min="1" max="1" width="13.42578125" style="344" customWidth="1"/>
    <col min="2" max="2" width="4.7109375" style="344" customWidth="1"/>
    <col min="3" max="3" width="5.5703125" style="344" customWidth="1"/>
    <col min="4" max="4" width="36.42578125" style="344" customWidth="1"/>
    <col min="5" max="5" width="12.42578125" style="344" customWidth="1"/>
    <col min="6" max="6" width="12.5703125" style="344" customWidth="1"/>
    <col min="7" max="7" width="7.7109375" style="344" customWidth="1"/>
    <col min="8" max="8" width="10.28515625" style="344" bestFit="1" customWidth="1"/>
    <col min="9" max="9" width="10.5703125" style="344" customWidth="1"/>
    <col min="10" max="10" width="11.5703125" style="344" customWidth="1"/>
    <col min="11" max="11" width="9.5703125" style="344" customWidth="1"/>
    <col min="12" max="16384" width="9.140625" style="344"/>
  </cols>
  <sheetData>
    <row r="2" spans="1:8" x14ac:dyDescent="0.25">
      <c r="A2" s="277"/>
      <c r="B2" s="277"/>
      <c r="C2" s="277"/>
      <c r="D2" s="277"/>
      <c r="E2" s="277"/>
      <c r="F2" s="277"/>
      <c r="G2" s="277"/>
      <c r="H2" s="277"/>
    </row>
    <row r="3" spans="1:8" x14ac:dyDescent="0.25">
      <c r="A3" s="425" t="s">
        <v>701</v>
      </c>
      <c r="B3" s="425"/>
      <c r="C3" s="425"/>
      <c r="D3" s="425"/>
      <c r="E3" s="425"/>
      <c r="F3" s="425"/>
      <c r="G3" s="425"/>
      <c r="H3" s="425"/>
    </row>
    <row r="4" spans="1:8" x14ac:dyDescent="0.25">
      <c r="A4" s="425" t="s">
        <v>53</v>
      </c>
      <c r="B4" s="425"/>
      <c r="C4" s="425"/>
      <c r="D4" s="425"/>
      <c r="E4" s="425"/>
      <c r="F4" s="425"/>
      <c r="G4" s="425"/>
      <c r="H4" s="425"/>
    </row>
    <row r="5" spans="1:8" x14ac:dyDescent="0.25">
      <c r="A5" s="425" t="s">
        <v>159</v>
      </c>
      <c r="B5" s="425"/>
      <c r="C5" s="425"/>
      <c r="D5" s="425"/>
      <c r="E5" s="425"/>
      <c r="F5" s="425"/>
      <c r="G5" s="425"/>
      <c r="H5" s="425"/>
    </row>
    <row r="6" spans="1:8" x14ac:dyDescent="0.25">
      <c r="A6" s="277"/>
      <c r="B6" s="277"/>
      <c r="C6" s="277"/>
      <c r="D6" s="277"/>
      <c r="E6" s="277"/>
      <c r="F6" s="277"/>
      <c r="G6" s="277"/>
      <c r="H6" s="277"/>
    </row>
    <row r="7" spans="1:8" ht="15.75" x14ac:dyDescent="0.25">
      <c r="A7" s="426" t="s">
        <v>702</v>
      </c>
      <c r="B7" s="426"/>
      <c r="C7" s="426"/>
      <c r="D7" s="426"/>
      <c r="E7" s="426"/>
      <c r="F7" s="426"/>
      <c r="G7" s="426"/>
      <c r="H7" s="426"/>
    </row>
    <row r="8" spans="1:8" x14ac:dyDescent="0.25">
      <c r="A8" s="277"/>
      <c r="B8" s="277"/>
      <c r="C8" s="277"/>
      <c r="D8" s="277"/>
      <c r="E8" s="277"/>
      <c r="F8" s="277"/>
      <c r="G8" s="277"/>
      <c r="H8" s="277"/>
    </row>
    <row r="9" spans="1:8" x14ac:dyDescent="0.25">
      <c r="A9" s="277" t="s">
        <v>703</v>
      </c>
      <c r="B9" s="427">
        <f ca="1">TODAY()</f>
        <v>46037</v>
      </c>
      <c r="C9" s="427"/>
      <c r="D9" s="427"/>
      <c r="E9" s="427"/>
      <c r="F9" s="427"/>
      <c r="G9" s="277"/>
      <c r="H9" s="277"/>
    </row>
    <row r="10" spans="1:8" x14ac:dyDescent="0.25">
      <c r="A10" s="277" t="s">
        <v>704</v>
      </c>
      <c r="B10" s="345" t="s">
        <v>726</v>
      </c>
      <c r="C10" s="346"/>
      <c r="D10" s="277"/>
      <c r="E10" s="277"/>
      <c r="F10" s="277"/>
      <c r="G10" s="277"/>
      <c r="H10" s="277"/>
    </row>
    <row r="11" spans="1:8" x14ac:dyDescent="0.25">
      <c r="A11" s="277"/>
      <c r="B11" s="277"/>
      <c r="C11" s="277"/>
      <c r="D11" s="277"/>
      <c r="E11" s="277"/>
      <c r="F11" s="277"/>
      <c r="G11" s="277"/>
      <c r="H11" s="277"/>
    </row>
    <row r="12" spans="1:8" ht="49.5" x14ac:dyDescent="0.25">
      <c r="A12" s="343" t="s">
        <v>705</v>
      </c>
      <c r="B12" s="343" t="s">
        <v>130</v>
      </c>
      <c r="C12" s="343" t="s">
        <v>706</v>
      </c>
      <c r="D12" s="343" t="s">
        <v>707</v>
      </c>
      <c r="E12" s="343" t="s">
        <v>708</v>
      </c>
      <c r="F12" s="343" t="s">
        <v>709</v>
      </c>
      <c r="G12" s="343" t="s">
        <v>710</v>
      </c>
      <c r="H12" s="343" t="s">
        <v>156</v>
      </c>
    </row>
    <row r="13" spans="1:8" ht="33" x14ac:dyDescent="0.25">
      <c r="A13" s="347" t="str">
        <f>+RPCPPE!E37</f>
        <v>2021-NFA-GSD-LT-C-229</v>
      </c>
      <c r="B13" s="348">
        <f>+RPCPPE!N37</f>
        <v>1</v>
      </c>
      <c r="C13" s="372" t="str">
        <f>+RPCPPE!H37</f>
        <v>unit</v>
      </c>
      <c r="D13" s="349" t="str">
        <f>+RPCPPE!D37</f>
        <v>2021 MITSUBISHI STRADA GLS 2.4D 2WD, 4N15UHC6103 SILVER METALIC, AT</v>
      </c>
      <c r="E13" s="350">
        <f>+RPCPPE!I37</f>
        <v>1397400</v>
      </c>
      <c r="F13" s="351">
        <f>+E13</f>
        <v>1397400</v>
      </c>
      <c r="G13" s="348">
        <v>9</v>
      </c>
      <c r="H13" s="352">
        <f>+RPCPPE!G37</f>
        <v>44439</v>
      </c>
    </row>
    <row r="14" spans="1:8" ht="16.5" x14ac:dyDescent="0.25">
      <c r="A14" s="347"/>
      <c r="B14" s="348"/>
      <c r="C14" s="372"/>
      <c r="D14" s="373" t="s">
        <v>719</v>
      </c>
      <c r="E14" s="350"/>
      <c r="F14" s="351"/>
      <c r="G14" s="348"/>
      <c r="H14" s="352"/>
    </row>
    <row r="15" spans="1:8" ht="16.5" x14ac:dyDescent="0.25">
      <c r="A15" s="347"/>
      <c r="B15" s="348"/>
      <c r="C15" s="372"/>
      <c r="D15" s="349"/>
      <c r="E15" s="350"/>
      <c r="F15" s="351"/>
      <c r="G15" s="348"/>
      <c r="H15" s="352"/>
    </row>
    <row r="16" spans="1:8" ht="16.5" x14ac:dyDescent="0.25">
      <c r="A16" s="347"/>
      <c r="B16" s="348"/>
      <c r="C16" s="372"/>
      <c r="D16" s="349"/>
      <c r="E16" s="350"/>
      <c r="F16" s="351"/>
      <c r="G16" s="348"/>
      <c r="H16" s="352"/>
    </row>
    <row r="17" spans="1:8" ht="16.5" x14ac:dyDescent="0.25">
      <c r="A17" s="347"/>
      <c r="B17" s="348"/>
      <c r="C17" s="372"/>
      <c r="D17" s="349"/>
      <c r="E17" s="350"/>
      <c r="F17" s="351"/>
      <c r="G17" s="348"/>
      <c r="H17" s="352"/>
    </row>
    <row r="18" spans="1:8" ht="16.5" x14ac:dyDescent="0.25">
      <c r="A18" s="347"/>
      <c r="B18" s="348"/>
      <c r="C18" s="372"/>
      <c r="D18" s="349"/>
      <c r="E18" s="350"/>
      <c r="F18" s="351"/>
      <c r="G18" s="348"/>
      <c r="H18" s="352"/>
    </row>
    <row r="19" spans="1:8" ht="16.5" x14ac:dyDescent="0.25">
      <c r="A19" s="347"/>
      <c r="B19" s="348"/>
      <c r="C19" s="372"/>
      <c r="D19" s="349"/>
      <c r="E19" s="350"/>
      <c r="F19" s="351"/>
      <c r="G19" s="348"/>
      <c r="H19" s="352"/>
    </row>
    <row r="20" spans="1:8" ht="16.5" x14ac:dyDescent="0.25">
      <c r="A20" s="347"/>
      <c r="B20" s="348"/>
      <c r="C20" s="372"/>
      <c r="D20" s="349"/>
      <c r="E20" s="350"/>
      <c r="F20" s="351"/>
      <c r="G20" s="348"/>
      <c r="H20" s="352"/>
    </row>
    <row r="21" spans="1:8" ht="16.5" x14ac:dyDescent="0.25">
      <c r="A21" s="347"/>
      <c r="B21" s="348"/>
      <c r="C21" s="372"/>
      <c r="D21" s="349"/>
      <c r="E21" s="350"/>
      <c r="F21" s="351"/>
      <c r="G21" s="348"/>
      <c r="H21" s="352"/>
    </row>
    <row r="22" spans="1:8" ht="16.5" x14ac:dyDescent="0.25">
      <c r="A22" s="347"/>
      <c r="B22" s="348"/>
      <c r="C22" s="372"/>
      <c r="D22" s="349"/>
      <c r="E22" s="350"/>
      <c r="F22" s="351"/>
      <c r="G22" s="348"/>
      <c r="H22" s="352"/>
    </row>
    <row r="23" spans="1:8" ht="16.5" x14ac:dyDescent="0.25">
      <c r="A23" s="347"/>
      <c r="B23" s="348"/>
      <c r="C23" s="372"/>
      <c r="D23" s="349"/>
      <c r="E23" s="350"/>
      <c r="F23" s="351"/>
      <c r="G23" s="348"/>
      <c r="H23" s="352"/>
    </row>
    <row r="24" spans="1:8" ht="16.5" x14ac:dyDescent="0.25">
      <c r="A24" s="347"/>
      <c r="B24" s="348"/>
      <c r="C24" s="372"/>
      <c r="D24" s="349"/>
      <c r="E24" s="350"/>
      <c r="F24" s="351"/>
      <c r="G24" s="348"/>
      <c r="H24" s="352"/>
    </row>
    <row r="25" spans="1:8" ht="16.5" x14ac:dyDescent="0.25">
      <c r="A25" s="347"/>
      <c r="B25" s="348"/>
      <c r="C25" s="372"/>
      <c r="D25" s="349"/>
      <c r="E25" s="350"/>
      <c r="F25" s="351"/>
      <c r="G25" s="348"/>
      <c r="H25" s="352"/>
    </row>
    <row r="26" spans="1:8" ht="16.5" x14ac:dyDescent="0.25">
      <c r="A26" s="347"/>
      <c r="B26" s="348"/>
      <c r="C26" s="372"/>
      <c r="D26" s="349"/>
      <c r="E26" s="350"/>
      <c r="F26" s="351"/>
      <c r="G26" s="348"/>
      <c r="H26" s="352"/>
    </row>
    <row r="27" spans="1:8" ht="16.5" x14ac:dyDescent="0.25">
      <c r="A27" s="347"/>
      <c r="B27" s="348"/>
      <c r="C27" s="372"/>
      <c r="D27" s="349"/>
      <c r="E27" s="350"/>
      <c r="F27" s="351"/>
      <c r="G27" s="348"/>
      <c r="H27" s="352"/>
    </row>
    <row r="28" spans="1:8" ht="16.5" x14ac:dyDescent="0.25">
      <c r="A28" s="347"/>
      <c r="B28" s="348"/>
      <c r="C28" s="372"/>
      <c r="D28" s="349"/>
      <c r="E28" s="350"/>
      <c r="F28" s="351"/>
      <c r="G28" s="348"/>
      <c r="H28" s="352"/>
    </row>
    <row r="29" spans="1:8" ht="16.5" x14ac:dyDescent="0.25">
      <c r="A29" s="347"/>
      <c r="B29" s="348"/>
      <c r="C29" s="372"/>
      <c r="D29" s="349"/>
      <c r="E29" s="350"/>
      <c r="F29" s="351"/>
      <c r="G29" s="348"/>
      <c r="H29" s="352"/>
    </row>
    <row r="30" spans="1:8" ht="16.5" x14ac:dyDescent="0.25">
      <c r="A30" s="347"/>
      <c r="B30" s="348"/>
      <c r="C30" s="372"/>
      <c r="D30" s="349"/>
      <c r="E30" s="350"/>
      <c r="F30" s="351"/>
      <c r="G30" s="348"/>
      <c r="H30" s="352"/>
    </row>
    <row r="31" spans="1:8" ht="16.5" x14ac:dyDescent="0.25">
      <c r="A31" s="347"/>
      <c r="B31" s="348"/>
      <c r="C31" s="372"/>
      <c r="D31" s="349"/>
      <c r="E31" s="350"/>
      <c r="F31" s="351"/>
      <c r="G31" s="348"/>
      <c r="H31" s="352"/>
    </row>
    <row r="32" spans="1:8" ht="16.5" x14ac:dyDescent="0.25">
      <c r="A32" s="347"/>
      <c r="B32" s="348"/>
      <c r="C32" s="372"/>
      <c r="D32" s="349"/>
      <c r="E32" s="350"/>
      <c r="F32" s="351"/>
      <c r="G32" s="348"/>
      <c r="H32" s="352"/>
    </row>
    <row r="33" spans="1:8" ht="16.5" x14ac:dyDescent="0.25">
      <c r="A33" s="347"/>
      <c r="B33" s="348"/>
      <c r="C33" s="372"/>
      <c r="D33" s="349"/>
      <c r="E33" s="350"/>
      <c r="F33" s="351"/>
      <c r="G33" s="348"/>
      <c r="H33" s="352"/>
    </row>
    <row r="34" spans="1:8" ht="16.5" x14ac:dyDescent="0.25">
      <c r="A34" s="347"/>
      <c r="B34" s="348"/>
      <c r="C34" s="372"/>
      <c r="D34" s="349"/>
      <c r="E34" s="350"/>
      <c r="F34" s="351"/>
      <c r="G34" s="348"/>
      <c r="H34" s="352"/>
    </row>
    <row r="35" spans="1:8" ht="16.5" x14ac:dyDescent="0.25">
      <c r="A35" s="347"/>
      <c r="B35" s="348"/>
      <c r="C35" s="372"/>
      <c r="D35" s="373"/>
      <c r="E35" s="350"/>
      <c r="F35" s="351"/>
      <c r="G35" s="348"/>
      <c r="H35" s="352"/>
    </row>
    <row r="36" spans="1:8" ht="16.5" x14ac:dyDescent="0.25">
      <c r="A36" s="347"/>
      <c r="B36" s="348"/>
      <c r="C36" s="372"/>
      <c r="D36" s="349"/>
      <c r="E36" s="350"/>
      <c r="F36" s="351"/>
      <c r="G36" s="348"/>
      <c r="H36" s="352"/>
    </row>
    <row r="37" spans="1:8" ht="16.5" x14ac:dyDescent="0.25">
      <c r="A37" s="347"/>
      <c r="B37" s="348"/>
      <c r="C37" s="372"/>
      <c r="D37" s="349"/>
      <c r="E37" s="350"/>
      <c r="F37" s="351"/>
      <c r="G37" s="348"/>
      <c r="H37" s="352"/>
    </row>
    <row r="38" spans="1:8" ht="16.5" x14ac:dyDescent="0.25">
      <c r="A38" s="353" t="s">
        <v>711</v>
      </c>
      <c r="B38" s="354"/>
      <c r="C38" s="355"/>
      <c r="D38" s="356" t="s">
        <v>712</v>
      </c>
      <c r="E38" s="353" t="s">
        <v>713</v>
      </c>
      <c r="F38" s="354"/>
      <c r="G38" s="357"/>
      <c r="H38" s="358"/>
    </row>
    <row r="39" spans="1:8" x14ac:dyDescent="0.25">
      <c r="A39" s="359"/>
      <c r="B39" s="360"/>
      <c r="C39" s="361"/>
      <c r="D39" s="362"/>
      <c r="E39" s="359"/>
      <c r="F39" s="360"/>
      <c r="G39" s="363"/>
      <c r="H39" s="364"/>
    </row>
    <row r="40" spans="1:8" x14ac:dyDescent="0.25">
      <c r="A40" s="365"/>
      <c r="B40" s="363"/>
      <c r="C40" s="364"/>
      <c r="D40" s="366"/>
      <c r="E40" s="365"/>
      <c r="F40" s="363"/>
      <c r="G40" s="363"/>
      <c r="H40" s="364"/>
    </row>
    <row r="41" spans="1:8" x14ac:dyDescent="0.25">
      <c r="A41" s="419" t="s">
        <v>84</v>
      </c>
      <c r="B41" s="420"/>
      <c r="C41" s="421"/>
      <c r="D41" s="367" t="s">
        <v>74</v>
      </c>
      <c r="E41" s="419" t="s">
        <v>715</v>
      </c>
      <c r="F41" s="420"/>
      <c r="G41" s="420"/>
      <c r="H41" s="421"/>
    </row>
    <row r="42" spans="1:8" x14ac:dyDescent="0.25">
      <c r="A42" s="422" t="s">
        <v>664</v>
      </c>
      <c r="B42" s="423"/>
      <c r="C42" s="424"/>
      <c r="D42" s="368" t="s">
        <v>721</v>
      </c>
      <c r="E42" s="422" t="s">
        <v>716</v>
      </c>
      <c r="F42" s="423"/>
      <c r="G42" s="423"/>
      <c r="H42" s="424"/>
    </row>
  </sheetData>
  <mergeCells count="9">
    <mergeCell ref="A42:C42"/>
    <mergeCell ref="E42:H42"/>
    <mergeCell ref="A3:H3"/>
    <mergeCell ref="A4:H4"/>
    <mergeCell ref="A5:H5"/>
    <mergeCell ref="A7:H7"/>
    <mergeCell ref="B9:F9"/>
    <mergeCell ref="A41:C41"/>
    <mergeCell ref="E41:H41"/>
  </mergeCells>
  <pageMargins left="0.31496062992125984" right="0.31496062992125984" top="0.35433070866141736" bottom="0.35433070866141736" header="0.11811023622047245" footer="0.11811023622047245"/>
  <pageSetup paperSize="9" scale="95"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42"/>
  <sheetViews>
    <sheetView topLeftCell="A16" zoomScaleNormal="100" zoomScaleSheetLayoutView="100" workbookViewId="0">
      <selection activeCell="H14" sqref="H14"/>
    </sheetView>
  </sheetViews>
  <sheetFormatPr defaultRowHeight="15" x14ac:dyDescent="0.25"/>
  <cols>
    <col min="1" max="1" width="13.42578125" style="344" customWidth="1"/>
    <col min="2" max="2" width="4.7109375" style="344" customWidth="1"/>
    <col min="3" max="3" width="5.5703125" style="344" customWidth="1"/>
    <col min="4" max="4" width="36.42578125" style="344" customWidth="1"/>
    <col min="5" max="5" width="12.42578125" style="344" customWidth="1"/>
    <col min="6" max="6" width="12.5703125" style="344" customWidth="1"/>
    <col min="7" max="7" width="7.7109375" style="344" customWidth="1"/>
    <col min="8" max="8" width="10.28515625" style="344" bestFit="1" customWidth="1"/>
    <col min="9" max="9" width="10.5703125" style="344" customWidth="1"/>
    <col min="10" max="10" width="11.5703125" style="344" customWidth="1"/>
    <col min="11" max="11" width="9.5703125" style="344" customWidth="1"/>
    <col min="12" max="16384" width="9.140625" style="344"/>
  </cols>
  <sheetData>
    <row r="2" spans="1:8" x14ac:dyDescent="0.25">
      <c r="A2" s="277"/>
      <c r="B2" s="277"/>
      <c r="C2" s="277"/>
      <c r="D2" s="277"/>
      <c r="E2" s="277"/>
      <c r="F2" s="277"/>
      <c r="G2" s="277"/>
      <c r="H2" s="277"/>
    </row>
    <row r="3" spans="1:8" x14ac:dyDescent="0.25">
      <c r="A3" s="425" t="s">
        <v>701</v>
      </c>
      <c r="B3" s="425"/>
      <c r="C3" s="425"/>
      <c r="D3" s="425"/>
      <c r="E3" s="425"/>
      <c r="F3" s="425"/>
      <c r="G3" s="425"/>
      <c r="H3" s="425"/>
    </row>
    <row r="4" spans="1:8" x14ac:dyDescent="0.25">
      <c r="A4" s="425" t="s">
        <v>53</v>
      </c>
      <c r="B4" s="425"/>
      <c r="C4" s="425"/>
      <c r="D4" s="425"/>
      <c r="E4" s="425"/>
      <c r="F4" s="425"/>
      <c r="G4" s="425"/>
      <c r="H4" s="425"/>
    </row>
    <row r="5" spans="1:8" x14ac:dyDescent="0.25">
      <c r="A5" s="425" t="s">
        <v>159</v>
      </c>
      <c r="B5" s="425"/>
      <c r="C5" s="425"/>
      <c r="D5" s="425"/>
      <c r="E5" s="425"/>
      <c r="F5" s="425"/>
      <c r="G5" s="425"/>
      <c r="H5" s="425"/>
    </row>
    <row r="6" spans="1:8" x14ac:dyDescent="0.25">
      <c r="A6" s="277"/>
      <c r="B6" s="277"/>
      <c r="C6" s="277"/>
      <c r="D6" s="277"/>
      <c r="E6" s="277"/>
      <c r="F6" s="277"/>
      <c r="G6" s="277"/>
      <c r="H6" s="277"/>
    </row>
    <row r="7" spans="1:8" ht="15.75" x14ac:dyDescent="0.25">
      <c r="A7" s="426" t="s">
        <v>702</v>
      </c>
      <c r="B7" s="426"/>
      <c r="C7" s="426"/>
      <c r="D7" s="426"/>
      <c r="E7" s="426"/>
      <c r="F7" s="426"/>
      <c r="G7" s="426"/>
      <c r="H7" s="426"/>
    </row>
    <row r="8" spans="1:8" x14ac:dyDescent="0.25">
      <c r="A8" s="277"/>
      <c r="B8" s="277"/>
      <c r="C8" s="277"/>
      <c r="D8" s="277"/>
      <c r="E8" s="277"/>
      <c r="F8" s="277"/>
      <c r="G8" s="277"/>
      <c r="H8" s="277"/>
    </row>
    <row r="9" spans="1:8" x14ac:dyDescent="0.25">
      <c r="A9" s="277" t="s">
        <v>703</v>
      </c>
      <c r="B9" s="427">
        <f ca="1">TODAY()</f>
        <v>46037</v>
      </c>
      <c r="C9" s="427"/>
      <c r="D9" s="427"/>
      <c r="E9" s="427"/>
      <c r="F9" s="427"/>
      <c r="G9" s="277"/>
      <c r="H9" s="277"/>
    </row>
    <row r="10" spans="1:8" x14ac:dyDescent="0.25">
      <c r="A10" s="277" t="s">
        <v>704</v>
      </c>
      <c r="B10" s="345" t="s">
        <v>728</v>
      </c>
      <c r="C10" s="346"/>
      <c r="D10" s="277"/>
      <c r="E10" s="277"/>
      <c r="F10" s="277"/>
      <c r="G10" s="277"/>
      <c r="H10" s="277"/>
    </row>
    <row r="11" spans="1:8" x14ac:dyDescent="0.25">
      <c r="A11" s="277"/>
      <c r="B11" s="277"/>
      <c r="C11" s="277"/>
      <c r="D11" s="277"/>
      <c r="E11" s="277"/>
      <c r="F11" s="277"/>
      <c r="G11" s="277"/>
      <c r="H11" s="277"/>
    </row>
    <row r="12" spans="1:8" ht="49.5" x14ac:dyDescent="0.25">
      <c r="A12" s="343" t="s">
        <v>705</v>
      </c>
      <c r="B12" s="343" t="s">
        <v>130</v>
      </c>
      <c r="C12" s="343" t="s">
        <v>706</v>
      </c>
      <c r="D12" s="343" t="s">
        <v>707</v>
      </c>
      <c r="E12" s="343" t="s">
        <v>708</v>
      </c>
      <c r="F12" s="343" t="s">
        <v>709</v>
      </c>
      <c r="G12" s="343" t="s">
        <v>710</v>
      </c>
      <c r="H12" s="343" t="s">
        <v>156</v>
      </c>
    </row>
    <row r="13" spans="1:8" ht="49.5" x14ac:dyDescent="0.25">
      <c r="A13" s="347" t="str">
        <f>+RPCPPE!E40</f>
        <v>2012-NFA-0B0-OE-C-010</v>
      </c>
      <c r="B13" s="348">
        <f>+RPCPPE!N40</f>
        <v>1</v>
      </c>
      <c r="C13" s="372" t="str">
        <f>+RPCPPE!H40</f>
        <v>set</v>
      </c>
      <c r="D13" s="349" t="str">
        <f>+RPCPPE!D40</f>
        <v>ROOM AIRCONDITIONER, SPLIT TYPE-WALL MOUNTED, 2.0 HP, W/ INVERTER , PANASONIC</v>
      </c>
      <c r="E13" s="350">
        <f>+RPCPPE!I40</f>
        <v>55000</v>
      </c>
      <c r="F13" s="351">
        <f>+E13</f>
        <v>55000</v>
      </c>
      <c r="G13" s="348">
        <v>3</v>
      </c>
      <c r="H13" s="352">
        <f>+RPCPPE!G40</f>
        <v>40919</v>
      </c>
    </row>
    <row r="14" spans="1:8" ht="16.5" x14ac:dyDescent="0.25">
      <c r="A14" s="347"/>
      <c r="B14" s="348"/>
      <c r="C14" s="372"/>
      <c r="D14" s="373" t="s">
        <v>719</v>
      </c>
      <c r="E14" s="350"/>
      <c r="F14" s="351"/>
      <c r="G14" s="348"/>
      <c r="H14" s="352"/>
    </row>
    <row r="15" spans="1:8" ht="16.5" x14ac:dyDescent="0.25">
      <c r="A15" s="347"/>
      <c r="B15" s="348"/>
      <c r="C15" s="372"/>
      <c r="D15" s="349"/>
      <c r="E15" s="350"/>
      <c r="F15" s="351"/>
      <c r="G15" s="348"/>
      <c r="H15" s="352"/>
    </row>
    <row r="16" spans="1:8" ht="16.5" x14ac:dyDescent="0.25">
      <c r="A16" s="347"/>
      <c r="B16" s="348"/>
      <c r="C16" s="372"/>
      <c r="D16" s="349"/>
      <c r="E16" s="350"/>
      <c r="F16" s="351"/>
      <c r="G16" s="348"/>
      <c r="H16" s="352"/>
    </row>
    <row r="17" spans="1:8" ht="16.5" x14ac:dyDescent="0.25">
      <c r="A17" s="347"/>
      <c r="B17" s="348"/>
      <c r="C17" s="372"/>
      <c r="D17" s="349"/>
      <c r="E17" s="350"/>
      <c r="F17" s="351"/>
      <c r="G17" s="348"/>
      <c r="H17" s="352"/>
    </row>
    <row r="18" spans="1:8" ht="16.5" x14ac:dyDescent="0.25">
      <c r="A18" s="347"/>
      <c r="B18" s="348"/>
      <c r="C18" s="372"/>
      <c r="D18" s="349"/>
      <c r="E18" s="350"/>
      <c r="F18" s="351"/>
      <c r="G18" s="348"/>
      <c r="H18" s="352"/>
    </row>
    <row r="19" spans="1:8" ht="16.5" x14ac:dyDescent="0.25">
      <c r="A19" s="347"/>
      <c r="B19" s="348"/>
      <c r="C19" s="372"/>
      <c r="D19" s="349"/>
      <c r="E19" s="350"/>
      <c r="F19" s="351"/>
      <c r="G19" s="348"/>
      <c r="H19" s="352"/>
    </row>
    <row r="20" spans="1:8" ht="16.5" x14ac:dyDescent="0.25">
      <c r="A20" s="347"/>
      <c r="B20" s="348"/>
      <c r="C20" s="372"/>
      <c r="D20" s="349"/>
      <c r="E20" s="350"/>
      <c r="F20" s="351"/>
      <c r="G20" s="348"/>
      <c r="H20" s="352"/>
    </row>
    <row r="21" spans="1:8" ht="16.5" x14ac:dyDescent="0.25">
      <c r="A21" s="347"/>
      <c r="B21" s="348"/>
      <c r="C21" s="372"/>
      <c r="D21" s="349"/>
      <c r="E21" s="350"/>
      <c r="F21" s="351"/>
      <c r="G21" s="348"/>
      <c r="H21" s="352"/>
    </row>
    <row r="22" spans="1:8" ht="16.5" x14ac:dyDescent="0.25">
      <c r="A22" s="347"/>
      <c r="B22" s="348"/>
      <c r="C22" s="372"/>
      <c r="D22" s="349"/>
      <c r="E22" s="350"/>
      <c r="F22" s="351"/>
      <c r="G22" s="348"/>
      <c r="H22" s="352"/>
    </row>
    <row r="23" spans="1:8" ht="16.5" x14ac:dyDescent="0.25">
      <c r="A23" s="347"/>
      <c r="B23" s="348"/>
      <c r="C23" s="372"/>
      <c r="D23" s="349"/>
      <c r="E23" s="350"/>
      <c r="F23" s="351"/>
      <c r="G23" s="348"/>
      <c r="H23" s="352"/>
    </row>
    <row r="24" spans="1:8" ht="16.5" x14ac:dyDescent="0.25">
      <c r="A24" s="347"/>
      <c r="B24" s="348"/>
      <c r="C24" s="372"/>
      <c r="D24" s="349"/>
      <c r="E24" s="350"/>
      <c r="F24" s="351"/>
      <c r="G24" s="348"/>
      <c r="H24" s="352"/>
    </row>
    <row r="25" spans="1:8" ht="16.5" x14ac:dyDescent="0.25">
      <c r="A25" s="347"/>
      <c r="B25" s="348"/>
      <c r="C25" s="372"/>
      <c r="D25" s="349"/>
      <c r="E25" s="350"/>
      <c r="F25" s="351"/>
      <c r="G25" s="348"/>
      <c r="H25" s="352"/>
    </row>
    <row r="26" spans="1:8" ht="16.5" x14ac:dyDescent="0.25">
      <c r="A26" s="347"/>
      <c r="B26" s="348"/>
      <c r="C26" s="372"/>
      <c r="D26" s="349"/>
      <c r="E26" s="350"/>
      <c r="F26" s="351"/>
      <c r="G26" s="348"/>
      <c r="H26" s="352"/>
    </row>
    <row r="27" spans="1:8" ht="16.5" x14ac:dyDescent="0.25">
      <c r="A27" s="347"/>
      <c r="B27" s="348"/>
      <c r="C27" s="372"/>
      <c r="D27" s="349"/>
      <c r="E27" s="350"/>
      <c r="F27" s="351"/>
      <c r="G27" s="348"/>
      <c r="H27" s="352"/>
    </row>
    <row r="28" spans="1:8" ht="16.5" x14ac:dyDescent="0.25">
      <c r="A28" s="347"/>
      <c r="B28" s="348"/>
      <c r="C28" s="372"/>
      <c r="D28" s="349"/>
      <c r="E28" s="350"/>
      <c r="F28" s="351"/>
      <c r="G28" s="348"/>
      <c r="H28" s="352"/>
    </row>
    <row r="29" spans="1:8" ht="16.5" x14ac:dyDescent="0.25">
      <c r="A29" s="347"/>
      <c r="B29" s="348"/>
      <c r="C29" s="372"/>
      <c r="D29" s="349"/>
      <c r="E29" s="350"/>
      <c r="F29" s="351"/>
      <c r="G29" s="348"/>
      <c r="H29" s="352"/>
    </row>
    <row r="30" spans="1:8" ht="16.5" x14ac:dyDescent="0.25">
      <c r="A30" s="347"/>
      <c r="B30" s="348"/>
      <c r="C30" s="372"/>
      <c r="D30" s="349"/>
      <c r="E30" s="350"/>
      <c r="F30" s="351"/>
      <c r="G30" s="348"/>
      <c r="H30" s="352"/>
    </row>
    <row r="31" spans="1:8" ht="16.5" x14ac:dyDescent="0.25">
      <c r="A31" s="347"/>
      <c r="B31" s="348"/>
      <c r="C31" s="372"/>
      <c r="D31" s="349"/>
      <c r="E31" s="350"/>
      <c r="F31" s="351"/>
      <c r="G31" s="348"/>
      <c r="H31" s="352"/>
    </row>
    <row r="32" spans="1:8" ht="16.5" x14ac:dyDescent="0.25">
      <c r="A32" s="347"/>
      <c r="B32" s="348"/>
      <c r="C32" s="372"/>
      <c r="D32" s="349"/>
      <c r="E32" s="350"/>
      <c r="F32" s="351"/>
      <c r="G32" s="348"/>
      <c r="H32" s="352"/>
    </row>
    <row r="33" spans="1:8" ht="16.5" x14ac:dyDescent="0.25">
      <c r="A33" s="347"/>
      <c r="B33" s="348"/>
      <c r="C33" s="372"/>
      <c r="D33" s="349"/>
      <c r="E33" s="350"/>
      <c r="F33" s="351"/>
      <c r="G33" s="348"/>
      <c r="H33" s="352"/>
    </row>
    <row r="34" spans="1:8" ht="16.5" x14ac:dyDescent="0.25">
      <c r="A34" s="347"/>
      <c r="B34" s="348"/>
      <c r="C34" s="372"/>
      <c r="D34" s="349"/>
      <c r="E34" s="350"/>
      <c r="F34" s="351"/>
      <c r="G34" s="348"/>
      <c r="H34" s="352"/>
    </row>
    <row r="35" spans="1:8" ht="16.5" x14ac:dyDescent="0.25">
      <c r="A35" s="347"/>
      <c r="B35" s="348"/>
      <c r="C35" s="372"/>
      <c r="D35" s="373"/>
      <c r="E35" s="350"/>
      <c r="F35" s="351"/>
      <c r="G35" s="348"/>
      <c r="H35" s="352"/>
    </row>
    <row r="36" spans="1:8" ht="16.5" x14ac:dyDescent="0.25">
      <c r="A36" s="347"/>
      <c r="B36" s="348"/>
      <c r="C36" s="372"/>
      <c r="D36" s="349"/>
      <c r="E36" s="350"/>
      <c r="F36" s="351"/>
      <c r="G36" s="348"/>
      <c r="H36" s="352"/>
    </row>
    <row r="37" spans="1:8" ht="16.5" x14ac:dyDescent="0.25">
      <c r="A37" s="347"/>
      <c r="B37" s="348"/>
      <c r="C37" s="372"/>
      <c r="D37" s="349"/>
      <c r="E37" s="350"/>
      <c r="F37" s="351"/>
      <c r="G37" s="348"/>
      <c r="H37" s="352"/>
    </row>
    <row r="38" spans="1:8" ht="16.5" x14ac:dyDescent="0.25">
      <c r="A38" s="353" t="s">
        <v>711</v>
      </c>
      <c r="B38" s="354"/>
      <c r="C38" s="355"/>
      <c r="D38" s="356" t="s">
        <v>712</v>
      </c>
      <c r="E38" s="353" t="s">
        <v>713</v>
      </c>
      <c r="F38" s="354"/>
      <c r="G38" s="357"/>
      <c r="H38" s="358"/>
    </row>
    <row r="39" spans="1:8" x14ac:dyDescent="0.25">
      <c r="A39" s="359"/>
      <c r="B39" s="360"/>
      <c r="C39" s="361"/>
      <c r="D39" s="362"/>
      <c r="E39" s="359"/>
      <c r="F39" s="360"/>
      <c r="G39" s="363"/>
      <c r="H39" s="364"/>
    </row>
    <row r="40" spans="1:8" x14ac:dyDescent="0.25">
      <c r="A40" s="365"/>
      <c r="B40" s="363"/>
      <c r="C40" s="364"/>
      <c r="D40" s="366"/>
      <c r="E40" s="365"/>
      <c r="F40" s="363"/>
      <c r="G40" s="363"/>
      <c r="H40" s="364"/>
    </row>
    <row r="41" spans="1:8" x14ac:dyDescent="0.25">
      <c r="A41" s="419" t="s">
        <v>84</v>
      </c>
      <c r="B41" s="420"/>
      <c r="C41" s="421"/>
      <c r="D41" s="367" t="s">
        <v>19</v>
      </c>
      <c r="E41" s="419" t="s">
        <v>715</v>
      </c>
      <c r="F41" s="420"/>
      <c r="G41" s="420"/>
      <c r="H41" s="421"/>
    </row>
    <row r="42" spans="1:8" x14ac:dyDescent="0.25">
      <c r="A42" s="422" t="s">
        <v>664</v>
      </c>
      <c r="B42" s="423"/>
      <c r="C42" s="424"/>
      <c r="D42" s="368" t="s">
        <v>727</v>
      </c>
      <c r="E42" s="422" t="s">
        <v>716</v>
      </c>
      <c r="F42" s="423"/>
      <c r="G42" s="423"/>
      <c r="H42" s="424"/>
    </row>
  </sheetData>
  <mergeCells count="9">
    <mergeCell ref="A42:C42"/>
    <mergeCell ref="E42:H42"/>
    <mergeCell ref="A3:H3"/>
    <mergeCell ref="A4:H4"/>
    <mergeCell ref="A5:H5"/>
    <mergeCell ref="A7:H7"/>
    <mergeCell ref="B9:F9"/>
    <mergeCell ref="A41:C41"/>
    <mergeCell ref="E41:H41"/>
  </mergeCells>
  <pageMargins left="0.31496062992125984" right="0.31496062992125984" top="0.35433070866141736" bottom="0.35433070866141736" header="0.11811023622047245" footer="0.11811023622047245"/>
  <pageSetup paperSize="9" scale="95"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42"/>
  <sheetViews>
    <sheetView zoomScaleNormal="100" zoomScaleSheetLayoutView="100" workbookViewId="0">
      <selection activeCell="H13" sqref="H13"/>
    </sheetView>
  </sheetViews>
  <sheetFormatPr defaultRowHeight="15" x14ac:dyDescent="0.25"/>
  <cols>
    <col min="1" max="1" width="13.42578125" style="344" customWidth="1"/>
    <col min="2" max="2" width="4.7109375" style="344" customWidth="1"/>
    <col min="3" max="3" width="5.5703125" style="344" customWidth="1"/>
    <col min="4" max="4" width="36.42578125" style="344" customWidth="1"/>
    <col min="5" max="5" width="12.42578125" style="344" customWidth="1"/>
    <col min="6" max="6" width="12.5703125" style="344" customWidth="1"/>
    <col min="7" max="7" width="7.7109375" style="344" customWidth="1"/>
    <col min="8" max="8" width="10.28515625" style="344" bestFit="1" customWidth="1"/>
    <col min="9" max="9" width="10.5703125" style="344" customWidth="1"/>
    <col min="10" max="10" width="11.5703125" style="344" customWidth="1"/>
    <col min="11" max="11" width="9.5703125" style="344" customWidth="1"/>
    <col min="12" max="16384" width="9.140625" style="344"/>
  </cols>
  <sheetData>
    <row r="2" spans="1:8" x14ac:dyDescent="0.25">
      <c r="A2" s="277"/>
      <c r="B2" s="277"/>
      <c r="C2" s="277"/>
      <c r="D2" s="277"/>
      <c r="E2" s="277"/>
      <c r="F2" s="277"/>
      <c r="G2" s="277"/>
      <c r="H2" s="277"/>
    </row>
    <row r="3" spans="1:8" x14ac:dyDescent="0.25">
      <c r="A3" s="425" t="s">
        <v>701</v>
      </c>
      <c r="B3" s="425"/>
      <c r="C3" s="425"/>
      <c r="D3" s="425"/>
      <c r="E3" s="425"/>
      <c r="F3" s="425"/>
      <c r="G3" s="425"/>
      <c r="H3" s="425"/>
    </row>
    <row r="4" spans="1:8" x14ac:dyDescent="0.25">
      <c r="A4" s="425" t="s">
        <v>53</v>
      </c>
      <c r="B4" s="425"/>
      <c r="C4" s="425"/>
      <c r="D4" s="425"/>
      <c r="E4" s="425"/>
      <c r="F4" s="425"/>
      <c r="G4" s="425"/>
      <c r="H4" s="425"/>
    </row>
    <row r="5" spans="1:8" x14ac:dyDescent="0.25">
      <c r="A5" s="425" t="s">
        <v>159</v>
      </c>
      <c r="B5" s="425"/>
      <c r="C5" s="425"/>
      <c r="D5" s="425"/>
      <c r="E5" s="425"/>
      <c r="F5" s="425"/>
      <c r="G5" s="425"/>
      <c r="H5" s="425"/>
    </row>
    <row r="6" spans="1:8" x14ac:dyDescent="0.25">
      <c r="A6" s="277"/>
      <c r="B6" s="277"/>
      <c r="C6" s="277"/>
      <c r="D6" s="277"/>
      <c r="E6" s="277"/>
      <c r="F6" s="277"/>
      <c r="G6" s="277"/>
      <c r="H6" s="277"/>
    </row>
    <row r="7" spans="1:8" ht="15.75" x14ac:dyDescent="0.25">
      <c r="A7" s="426" t="s">
        <v>702</v>
      </c>
      <c r="B7" s="426"/>
      <c r="C7" s="426"/>
      <c r="D7" s="426"/>
      <c r="E7" s="426"/>
      <c r="F7" s="426"/>
      <c r="G7" s="426"/>
      <c r="H7" s="426"/>
    </row>
    <row r="8" spans="1:8" x14ac:dyDescent="0.25">
      <c r="A8" s="277"/>
      <c r="B8" s="277"/>
      <c r="C8" s="277"/>
      <c r="D8" s="277"/>
      <c r="E8" s="277"/>
      <c r="F8" s="277"/>
      <c r="G8" s="277"/>
      <c r="H8" s="277"/>
    </row>
    <row r="9" spans="1:8" x14ac:dyDescent="0.25">
      <c r="A9" s="277" t="s">
        <v>703</v>
      </c>
      <c r="B9" s="427">
        <f ca="1">TODAY()</f>
        <v>46037</v>
      </c>
      <c r="C9" s="427"/>
      <c r="D9" s="427"/>
      <c r="E9" s="427"/>
      <c r="F9" s="427"/>
      <c r="G9" s="277"/>
      <c r="H9" s="277"/>
    </row>
    <row r="10" spans="1:8" x14ac:dyDescent="0.25">
      <c r="A10" s="277" t="s">
        <v>704</v>
      </c>
      <c r="B10" s="345" t="s">
        <v>729</v>
      </c>
      <c r="C10" s="346"/>
      <c r="D10" s="277"/>
      <c r="E10" s="277"/>
      <c r="F10" s="277"/>
      <c r="G10" s="277"/>
      <c r="H10" s="277"/>
    </row>
    <row r="11" spans="1:8" x14ac:dyDescent="0.25">
      <c r="A11" s="277"/>
      <c r="B11" s="277"/>
      <c r="C11" s="277"/>
      <c r="D11" s="277"/>
      <c r="E11" s="277"/>
      <c r="F11" s="277"/>
      <c r="G11" s="277"/>
      <c r="H11" s="277"/>
    </row>
    <row r="12" spans="1:8" ht="49.5" x14ac:dyDescent="0.25">
      <c r="A12" s="343" t="s">
        <v>705</v>
      </c>
      <c r="B12" s="343" t="s">
        <v>130</v>
      </c>
      <c r="C12" s="343" t="s">
        <v>706</v>
      </c>
      <c r="D12" s="343" t="s">
        <v>707</v>
      </c>
      <c r="E12" s="343" t="s">
        <v>708</v>
      </c>
      <c r="F12" s="343" t="s">
        <v>709</v>
      </c>
      <c r="G12" s="343" t="s">
        <v>710</v>
      </c>
      <c r="H12" s="343" t="s">
        <v>156</v>
      </c>
    </row>
    <row r="13" spans="1:8" ht="33" x14ac:dyDescent="0.25">
      <c r="A13" s="347" t="str">
        <f>+RPCPPE!E72</f>
        <v>2013-NFA-00B-PE-V-002</v>
      </c>
      <c r="B13" s="348">
        <f>+RPCPPE!N72</f>
        <v>1</v>
      </c>
      <c r="C13" s="372" t="str">
        <f>+RPCPPE!H72</f>
        <v>set</v>
      </c>
      <c r="D13" s="349" t="str">
        <f>+RPCPPE!D72</f>
        <v>GENERATOR SET KUBOTA</v>
      </c>
      <c r="E13" s="350">
        <f>+RPCPPE!I72</f>
        <v>439700</v>
      </c>
      <c r="F13" s="351">
        <f>+E13</f>
        <v>439700</v>
      </c>
      <c r="G13" s="348">
        <v>5</v>
      </c>
      <c r="H13" s="352">
        <f>+RPCPPE!G72</f>
        <v>41275</v>
      </c>
    </row>
    <row r="14" spans="1:8" ht="16.5" x14ac:dyDescent="0.25">
      <c r="A14" s="347"/>
      <c r="B14" s="348"/>
      <c r="C14" s="372"/>
      <c r="D14" s="373" t="s">
        <v>719</v>
      </c>
      <c r="E14" s="350"/>
      <c r="F14" s="351"/>
      <c r="G14" s="348"/>
      <c r="H14" s="352"/>
    </row>
    <row r="15" spans="1:8" ht="16.5" x14ac:dyDescent="0.25">
      <c r="A15" s="347"/>
      <c r="B15" s="348"/>
      <c r="C15" s="372"/>
      <c r="D15" s="349"/>
      <c r="E15" s="350"/>
      <c r="F15" s="351"/>
      <c r="G15" s="348"/>
      <c r="H15" s="352"/>
    </row>
    <row r="16" spans="1:8" ht="16.5" x14ac:dyDescent="0.25">
      <c r="A16" s="347"/>
      <c r="B16" s="348"/>
      <c r="C16" s="372"/>
      <c r="D16" s="349"/>
      <c r="E16" s="350"/>
      <c r="F16" s="351"/>
      <c r="G16" s="348"/>
      <c r="H16" s="352"/>
    </row>
    <row r="17" spans="1:8" ht="16.5" x14ac:dyDescent="0.25">
      <c r="A17" s="347"/>
      <c r="B17" s="348"/>
      <c r="C17" s="372"/>
      <c r="D17" s="349"/>
      <c r="E17" s="350"/>
      <c r="F17" s="351"/>
      <c r="G17" s="348"/>
      <c r="H17" s="352"/>
    </row>
    <row r="18" spans="1:8" ht="16.5" x14ac:dyDescent="0.25">
      <c r="A18" s="347"/>
      <c r="B18" s="348"/>
      <c r="C18" s="372"/>
      <c r="D18" s="349"/>
      <c r="E18" s="350"/>
      <c r="F18" s="351"/>
      <c r="G18" s="348"/>
      <c r="H18" s="352"/>
    </row>
    <row r="19" spans="1:8" ht="16.5" x14ac:dyDescent="0.25">
      <c r="A19" s="347"/>
      <c r="B19" s="348"/>
      <c r="C19" s="372"/>
      <c r="D19" s="349"/>
      <c r="E19" s="350"/>
      <c r="F19" s="351"/>
      <c r="G19" s="348"/>
      <c r="H19" s="352"/>
    </row>
    <row r="20" spans="1:8" ht="16.5" x14ac:dyDescent="0.25">
      <c r="A20" s="347"/>
      <c r="B20" s="348"/>
      <c r="C20" s="372"/>
      <c r="D20" s="349"/>
      <c r="E20" s="350"/>
      <c r="F20" s="351"/>
      <c r="G20" s="348"/>
      <c r="H20" s="352"/>
    </row>
    <row r="21" spans="1:8" ht="16.5" x14ac:dyDescent="0.25">
      <c r="A21" s="347"/>
      <c r="B21" s="348"/>
      <c r="C21" s="372"/>
      <c r="D21" s="349"/>
      <c r="E21" s="350"/>
      <c r="F21" s="351"/>
      <c r="G21" s="348"/>
      <c r="H21" s="352"/>
    </row>
    <row r="22" spans="1:8" ht="16.5" x14ac:dyDescent="0.25">
      <c r="A22" s="347"/>
      <c r="B22" s="348"/>
      <c r="C22" s="372"/>
      <c r="D22" s="349"/>
      <c r="E22" s="350"/>
      <c r="F22" s="351"/>
      <c r="G22" s="348"/>
      <c r="H22" s="352"/>
    </row>
    <row r="23" spans="1:8" ht="16.5" x14ac:dyDescent="0.25">
      <c r="A23" s="347"/>
      <c r="B23" s="348"/>
      <c r="C23" s="372"/>
      <c r="D23" s="349"/>
      <c r="E23" s="350"/>
      <c r="F23" s="351"/>
      <c r="G23" s="348"/>
      <c r="H23" s="352"/>
    </row>
    <row r="24" spans="1:8" ht="16.5" x14ac:dyDescent="0.25">
      <c r="A24" s="347"/>
      <c r="B24" s="348"/>
      <c r="C24" s="372"/>
      <c r="D24" s="349"/>
      <c r="E24" s="350"/>
      <c r="F24" s="351"/>
      <c r="G24" s="348"/>
      <c r="H24" s="352"/>
    </row>
    <row r="25" spans="1:8" ht="16.5" x14ac:dyDescent="0.25">
      <c r="A25" s="347"/>
      <c r="B25" s="348"/>
      <c r="C25" s="372"/>
      <c r="D25" s="349"/>
      <c r="E25" s="350"/>
      <c r="F25" s="351"/>
      <c r="G25" s="348"/>
      <c r="H25" s="352"/>
    </row>
    <row r="26" spans="1:8" ht="16.5" x14ac:dyDescent="0.25">
      <c r="A26" s="347"/>
      <c r="B26" s="348"/>
      <c r="C26" s="372"/>
      <c r="D26" s="349"/>
      <c r="E26" s="350"/>
      <c r="F26" s="351"/>
      <c r="G26" s="348"/>
      <c r="H26" s="352"/>
    </row>
    <row r="27" spans="1:8" ht="16.5" x14ac:dyDescent="0.25">
      <c r="A27" s="347"/>
      <c r="B27" s="348"/>
      <c r="C27" s="372"/>
      <c r="D27" s="349"/>
      <c r="E27" s="350"/>
      <c r="F27" s="351"/>
      <c r="G27" s="348"/>
      <c r="H27" s="352"/>
    </row>
    <row r="28" spans="1:8" ht="16.5" x14ac:dyDescent="0.25">
      <c r="A28" s="347"/>
      <c r="B28" s="348"/>
      <c r="C28" s="372"/>
      <c r="D28" s="349"/>
      <c r="E28" s="350"/>
      <c r="F28" s="351"/>
      <c r="G28" s="348"/>
      <c r="H28" s="352"/>
    </row>
    <row r="29" spans="1:8" ht="16.5" x14ac:dyDescent="0.25">
      <c r="A29" s="347"/>
      <c r="B29" s="348"/>
      <c r="C29" s="372"/>
      <c r="D29" s="349"/>
      <c r="E29" s="350"/>
      <c r="F29" s="351"/>
      <c r="G29" s="348"/>
      <c r="H29" s="352"/>
    </row>
    <row r="30" spans="1:8" ht="16.5" x14ac:dyDescent="0.25">
      <c r="A30" s="347"/>
      <c r="B30" s="348"/>
      <c r="C30" s="372"/>
      <c r="D30" s="349"/>
      <c r="E30" s="350"/>
      <c r="F30" s="351"/>
      <c r="G30" s="348"/>
      <c r="H30" s="352"/>
    </row>
    <row r="31" spans="1:8" ht="16.5" x14ac:dyDescent="0.25">
      <c r="A31" s="347"/>
      <c r="B31" s="348"/>
      <c r="C31" s="372"/>
      <c r="D31" s="349"/>
      <c r="E31" s="350"/>
      <c r="F31" s="351"/>
      <c r="G31" s="348"/>
      <c r="H31" s="352"/>
    </row>
    <row r="32" spans="1:8" ht="16.5" x14ac:dyDescent="0.25">
      <c r="A32" s="347"/>
      <c r="B32" s="348"/>
      <c r="C32" s="372"/>
      <c r="D32" s="349"/>
      <c r="E32" s="350"/>
      <c r="F32" s="351"/>
      <c r="G32" s="348"/>
      <c r="H32" s="352"/>
    </row>
    <row r="33" spans="1:8" ht="16.5" x14ac:dyDescent="0.25">
      <c r="A33" s="347"/>
      <c r="B33" s="348"/>
      <c r="C33" s="372"/>
      <c r="D33" s="349"/>
      <c r="E33" s="350"/>
      <c r="F33" s="351"/>
      <c r="G33" s="348"/>
      <c r="H33" s="352"/>
    </row>
    <row r="34" spans="1:8" ht="16.5" x14ac:dyDescent="0.25">
      <c r="A34" s="347"/>
      <c r="B34" s="348"/>
      <c r="C34" s="372"/>
      <c r="D34" s="349"/>
      <c r="E34" s="350"/>
      <c r="F34" s="351"/>
      <c r="G34" s="348"/>
      <c r="H34" s="352"/>
    </row>
    <row r="35" spans="1:8" ht="16.5" x14ac:dyDescent="0.25">
      <c r="A35" s="347"/>
      <c r="B35" s="348"/>
      <c r="C35" s="372"/>
      <c r="D35" s="373"/>
      <c r="E35" s="350"/>
      <c r="F35" s="351"/>
      <c r="G35" s="348"/>
      <c r="H35" s="352"/>
    </row>
    <row r="36" spans="1:8" ht="16.5" x14ac:dyDescent="0.25">
      <c r="A36" s="347"/>
      <c r="B36" s="348"/>
      <c r="C36" s="372"/>
      <c r="D36" s="349"/>
      <c r="E36" s="350"/>
      <c r="F36" s="351"/>
      <c r="G36" s="348"/>
      <c r="H36" s="352"/>
    </row>
    <row r="37" spans="1:8" ht="16.5" x14ac:dyDescent="0.25">
      <c r="A37" s="347"/>
      <c r="B37" s="348"/>
      <c r="C37" s="372"/>
      <c r="D37" s="349"/>
      <c r="E37" s="350"/>
      <c r="F37" s="351"/>
      <c r="G37" s="348"/>
      <c r="H37" s="352"/>
    </row>
    <row r="38" spans="1:8" ht="16.5" x14ac:dyDescent="0.25">
      <c r="A38" s="353" t="s">
        <v>711</v>
      </c>
      <c r="B38" s="354"/>
      <c r="C38" s="355"/>
      <c r="D38" s="356" t="s">
        <v>712</v>
      </c>
      <c r="E38" s="353" t="s">
        <v>713</v>
      </c>
      <c r="F38" s="354"/>
      <c r="G38" s="357"/>
      <c r="H38" s="358"/>
    </row>
    <row r="39" spans="1:8" x14ac:dyDescent="0.25">
      <c r="A39" s="359"/>
      <c r="B39" s="360"/>
      <c r="C39" s="361"/>
      <c r="D39" s="362"/>
      <c r="E39" s="359"/>
      <c r="F39" s="360"/>
      <c r="G39" s="363"/>
      <c r="H39" s="364"/>
    </row>
    <row r="40" spans="1:8" x14ac:dyDescent="0.25">
      <c r="A40" s="365"/>
      <c r="B40" s="363"/>
      <c r="C40" s="364"/>
      <c r="D40" s="366"/>
      <c r="E40" s="365"/>
      <c r="F40" s="363"/>
      <c r="G40" s="363"/>
      <c r="H40" s="364"/>
    </row>
    <row r="41" spans="1:8" x14ac:dyDescent="0.25">
      <c r="A41" s="419" t="s">
        <v>84</v>
      </c>
      <c r="B41" s="420"/>
      <c r="C41" s="421"/>
      <c r="D41" s="367" t="s">
        <v>23</v>
      </c>
      <c r="E41" s="419" t="s">
        <v>715</v>
      </c>
      <c r="F41" s="420"/>
      <c r="G41" s="420"/>
      <c r="H41" s="421"/>
    </row>
    <row r="42" spans="1:8" x14ac:dyDescent="0.25">
      <c r="A42" s="422" t="s">
        <v>664</v>
      </c>
      <c r="B42" s="423"/>
      <c r="C42" s="424"/>
      <c r="D42" s="368" t="s">
        <v>730</v>
      </c>
      <c r="E42" s="422" t="s">
        <v>716</v>
      </c>
      <c r="F42" s="423"/>
      <c r="G42" s="423"/>
      <c r="H42" s="424"/>
    </row>
  </sheetData>
  <mergeCells count="9">
    <mergeCell ref="A42:C42"/>
    <mergeCell ref="E42:H42"/>
    <mergeCell ref="A3:H3"/>
    <mergeCell ref="A4:H4"/>
    <mergeCell ref="A5:H5"/>
    <mergeCell ref="A7:H7"/>
    <mergeCell ref="B9:F9"/>
    <mergeCell ref="A41:C41"/>
    <mergeCell ref="E41:H41"/>
  </mergeCells>
  <pageMargins left="0.31496062992125984" right="0.31496062992125984" top="0.35433070866141736" bottom="0.35433070866141736" header="0.11811023622047245" footer="0.11811023622047245"/>
  <pageSetup paperSize="9" scale="95"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42"/>
  <sheetViews>
    <sheetView topLeftCell="A19" zoomScaleNormal="100" zoomScaleSheetLayoutView="100" workbookViewId="0">
      <selection activeCell="H14" sqref="H14"/>
    </sheetView>
  </sheetViews>
  <sheetFormatPr defaultRowHeight="15" x14ac:dyDescent="0.25"/>
  <cols>
    <col min="1" max="1" width="13.42578125" style="344" customWidth="1"/>
    <col min="2" max="2" width="4.7109375" style="344" customWidth="1"/>
    <col min="3" max="3" width="5.5703125" style="344" customWidth="1"/>
    <col min="4" max="4" width="36.42578125" style="344" customWidth="1"/>
    <col min="5" max="5" width="12.42578125" style="344" customWidth="1"/>
    <col min="6" max="6" width="12.5703125" style="344" customWidth="1"/>
    <col min="7" max="7" width="7.7109375" style="344" customWidth="1"/>
    <col min="8" max="8" width="10.28515625" style="344" bestFit="1" customWidth="1"/>
    <col min="9" max="9" width="10.5703125" style="344" customWidth="1"/>
    <col min="10" max="10" width="11.5703125" style="344" customWidth="1"/>
    <col min="11" max="11" width="9.5703125" style="344" customWidth="1"/>
    <col min="12" max="16384" width="9.140625" style="344"/>
  </cols>
  <sheetData>
    <row r="2" spans="1:8" x14ac:dyDescent="0.25">
      <c r="A2" s="277"/>
      <c r="B2" s="277"/>
      <c r="C2" s="277"/>
      <c r="D2" s="277"/>
      <c r="E2" s="277"/>
      <c r="F2" s="277"/>
      <c r="G2" s="277"/>
      <c r="H2" s="277"/>
    </row>
    <row r="3" spans="1:8" x14ac:dyDescent="0.25">
      <c r="A3" s="425" t="s">
        <v>701</v>
      </c>
      <c r="B3" s="425"/>
      <c r="C3" s="425"/>
      <c r="D3" s="425"/>
      <c r="E3" s="425"/>
      <c r="F3" s="425"/>
      <c r="G3" s="425"/>
      <c r="H3" s="425"/>
    </row>
    <row r="4" spans="1:8" x14ac:dyDescent="0.25">
      <c r="A4" s="425" t="s">
        <v>53</v>
      </c>
      <c r="B4" s="425"/>
      <c r="C4" s="425"/>
      <c r="D4" s="425"/>
      <c r="E4" s="425"/>
      <c r="F4" s="425"/>
      <c r="G4" s="425"/>
      <c r="H4" s="425"/>
    </row>
    <row r="5" spans="1:8" x14ac:dyDescent="0.25">
      <c r="A5" s="425" t="s">
        <v>159</v>
      </c>
      <c r="B5" s="425"/>
      <c r="C5" s="425"/>
      <c r="D5" s="425"/>
      <c r="E5" s="425"/>
      <c r="F5" s="425"/>
      <c r="G5" s="425"/>
      <c r="H5" s="425"/>
    </row>
    <row r="6" spans="1:8" x14ac:dyDescent="0.25">
      <c r="A6" s="277"/>
      <c r="B6" s="277"/>
      <c r="C6" s="277"/>
      <c r="D6" s="277"/>
      <c r="E6" s="277"/>
      <c r="F6" s="277"/>
      <c r="G6" s="277"/>
      <c r="H6" s="277"/>
    </row>
    <row r="7" spans="1:8" ht="15.75" x14ac:dyDescent="0.25">
      <c r="A7" s="426" t="s">
        <v>702</v>
      </c>
      <c r="B7" s="426"/>
      <c r="C7" s="426"/>
      <c r="D7" s="426"/>
      <c r="E7" s="426"/>
      <c r="F7" s="426"/>
      <c r="G7" s="426"/>
      <c r="H7" s="426"/>
    </row>
    <row r="8" spans="1:8" x14ac:dyDescent="0.25">
      <c r="A8" s="277"/>
      <c r="B8" s="277"/>
      <c r="C8" s="277"/>
      <c r="D8" s="277"/>
      <c r="E8" s="277"/>
      <c r="F8" s="277"/>
      <c r="G8" s="277"/>
      <c r="H8" s="277"/>
    </row>
    <row r="9" spans="1:8" x14ac:dyDescent="0.25">
      <c r="A9" s="277" t="s">
        <v>703</v>
      </c>
      <c r="B9" s="427">
        <f ca="1">TODAY()</f>
        <v>46037</v>
      </c>
      <c r="C9" s="427"/>
      <c r="D9" s="427"/>
      <c r="E9" s="427"/>
      <c r="F9" s="427"/>
      <c r="G9" s="277"/>
      <c r="H9" s="277"/>
    </row>
    <row r="10" spans="1:8" x14ac:dyDescent="0.25">
      <c r="A10" s="277" t="s">
        <v>704</v>
      </c>
      <c r="B10" s="345" t="s">
        <v>731</v>
      </c>
      <c r="C10" s="346"/>
      <c r="D10" s="277"/>
      <c r="E10" s="277"/>
      <c r="F10" s="277"/>
      <c r="G10" s="277"/>
      <c r="H10" s="277"/>
    </row>
    <row r="11" spans="1:8" x14ac:dyDescent="0.25">
      <c r="A11" s="277"/>
      <c r="B11" s="277"/>
      <c r="C11" s="277"/>
      <c r="D11" s="277"/>
      <c r="E11" s="277"/>
      <c r="F11" s="277"/>
      <c r="G11" s="277"/>
      <c r="H11" s="277"/>
    </row>
    <row r="12" spans="1:8" ht="49.5" x14ac:dyDescent="0.25">
      <c r="A12" s="343" t="s">
        <v>705</v>
      </c>
      <c r="B12" s="343" t="s">
        <v>130</v>
      </c>
      <c r="C12" s="343" t="s">
        <v>706</v>
      </c>
      <c r="D12" s="343" t="s">
        <v>707</v>
      </c>
      <c r="E12" s="343" t="s">
        <v>708</v>
      </c>
      <c r="F12" s="343" t="s">
        <v>709</v>
      </c>
      <c r="G12" s="343" t="s">
        <v>710</v>
      </c>
      <c r="H12" s="343" t="s">
        <v>156</v>
      </c>
    </row>
    <row r="13" spans="1:8" ht="49.5" x14ac:dyDescent="0.25">
      <c r="A13" s="347" t="str">
        <f>+RPCPPE!E23</f>
        <v>2022-NFA-MSD-DP-T-059</v>
      </c>
      <c r="B13" s="348">
        <f>+RPCPPE!N23</f>
        <v>1</v>
      </c>
      <c r="C13" s="372" t="str">
        <f>+RPCPPE!H23</f>
        <v>set</v>
      </c>
      <c r="D13" s="349" t="str">
        <f>+RPCPPE!D23</f>
        <v>B3-420 Notebook 14" Core15-1135g7 / 16B DDR4 / 512GB NVME PCI-E SSD, Intel IRIS XE Graphics, SN# JEXPM22325000059</v>
      </c>
      <c r="E13" s="350">
        <f>+RPCPPE!I23</f>
        <v>56400</v>
      </c>
      <c r="F13" s="351">
        <f>+E13</f>
        <v>56400</v>
      </c>
      <c r="G13" s="348">
        <v>5</v>
      </c>
      <c r="H13" s="352">
        <f>+RPCPPE!G23</f>
        <v>44883</v>
      </c>
    </row>
    <row r="14" spans="1:8" ht="16.5" x14ac:dyDescent="0.25">
      <c r="A14" s="347"/>
      <c r="B14" s="348"/>
      <c r="C14" s="372"/>
      <c r="D14" s="373" t="s">
        <v>719</v>
      </c>
      <c r="E14" s="350"/>
      <c r="F14" s="351"/>
      <c r="G14" s="348"/>
      <c r="H14" s="352"/>
    </row>
    <row r="15" spans="1:8" ht="16.5" x14ac:dyDescent="0.25">
      <c r="A15" s="347"/>
      <c r="B15" s="348"/>
      <c r="C15" s="372"/>
      <c r="D15" s="349"/>
      <c r="E15" s="350"/>
      <c r="F15" s="351"/>
      <c r="G15" s="348"/>
      <c r="H15" s="352"/>
    </row>
    <row r="16" spans="1:8" ht="16.5" x14ac:dyDescent="0.25">
      <c r="A16" s="347"/>
      <c r="B16" s="348"/>
      <c r="C16" s="372"/>
      <c r="D16" s="349"/>
      <c r="E16" s="350"/>
      <c r="F16" s="351"/>
      <c r="G16" s="348"/>
      <c r="H16" s="352"/>
    </row>
    <row r="17" spans="1:8" ht="16.5" x14ac:dyDescent="0.25">
      <c r="A17" s="347"/>
      <c r="B17" s="348"/>
      <c r="C17" s="372"/>
      <c r="D17" s="349"/>
      <c r="E17" s="350"/>
      <c r="F17" s="351"/>
      <c r="G17" s="348"/>
      <c r="H17" s="352"/>
    </row>
    <row r="18" spans="1:8" ht="16.5" x14ac:dyDescent="0.25">
      <c r="A18" s="347"/>
      <c r="B18" s="348"/>
      <c r="C18" s="372"/>
      <c r="D18" s="349"/>
      <c r="E18" s="350"/>
      <c r="F18" s="351"/>
      <c r="G18" s="348"/>
      <c r="H18" s="352"/>
    </row>
    <row r="19" spans="1:8" ht="16.5" x14ac:dyDescent="0.25">
      <c r="A19" s="347"/>
      <c r="B19" s="348"/>
      <c r="C19" s="372"/>
      <c r="D19" s="349"/>
      <c r="E19" s="350"/>
      <c r="F19" s="351"/>
      <c r="G19" s="348"/>
      <c r="H19" s="352"/>
    </row>
    <row r="20" spans="1:8" ht="16.5" x14ac:dyDescent="0.25">
      <c r="A20" s="347"/>
      <c r="B20" s="348"/>
      <c r="C20" s="372"/>
      <c r="D20" s="349"/>
      <c r="E20" s="350"/>
      <c r="F20" s="351"/>
      <c r="G20" s="348"/>
      <c r="H20" s="352"/>
    </row>
    <row r="21" spans="1:8" ht="16.5" x14ac:dyDescent="0.25">
      <c r="A21" s="347"/>
      <c r="B21" s="348"/>
      <c r="C21" s="372"/>
      <c r="D21" s="349"/>
      <c r="E21" s="350"/>
      <c r="F21" s="351"/>
      <c r="G21" s="348"/>
      <c r="H21" s="352"/>
    </row>
    <row r="22" spans="1:8" ht="16.5" x14ac:dyDescent="0.25">
      <c r="A22" s="347"/>
      <c r="B22" s="348"/>
      <c r="C22" s="372"/>
      <c r="D22" s="349"/>
      <c r="E22" s="350"/>
      <c r="F22" s="351"/>
      <c r="G22" s="348"/>
      <c r="H22" s="352"/>
    </row>
    <row r="23" spans="1:8" ht="16.5" x14ac:dyDescent="0.25">
      <c r="A23" s="347"/>
      <c r="B23" s="348"/>
      <c r="C23" s="372"/>
      <c r="D23" s="349"/>
      <c r="E23" s="350"/>
      <c r="F23" s="351"/>
      <c r="G23" s="348"/>
      <c r="H23" s="352"/>
    </row>
    <row r="24" spans="1:8" ht="16.5" x14ac:dyDescent="0.25">
      <c r="A24" s="347"/>
      <c r="B24" s="348"/>
      <c r="C24" s="372"/>
      <c r="D24" s="349"/>
      <c r="E24" s="350"/>
      <c r="F24" s="351"/>
      <c r="G24" s="348"/>
      <c r="H24" s="352"/>
    </row>
    <row r="25" spans="1:8" ht="16.5" x14ac:dyDescent="0.25">
      <c r="A25" s="347"/>
      <c r="B25" s="348"/>
      <c r="C25" s="372"/>
      <c r="D25" s="349"/>
      <c r="E25" s="350"/>
      <c r="F25" s="351"/>
      <c r="G25" s="348"/>
      <c r="H25" s="352"/>
    </row>
    <row r="26" spans="1:8" ht="16.5" x14ac:dyDescent="0.25">
      <c r="A26" s="347"/>
      <c r="B26" s="348"/>
      <c r="C26" s="372"/>
      <c r="D26" s="349"/>
      <c r="E26" s="350"/>
      <c r="F26" s="351"/>
      <c r="G26" s="348"/>
      <c r="H26" s="352"/>
    </row>
    <row r="27" spans="1:8" ht="16.5" x14ac:dyDescent="0.25">
      <c r="A27" s="347"/>
      <c r="B27" s="348"/>
      <c r="C27" s="372"/>
      <c r="D27" s="349"/>
      <c r="E27" s="350"/>
      <c r="F27" s="351"/>
      <c r="G27" s="348"/>
      <c r="H27" s="352"/>
    </row>
    <row r="28" spans="1:8" ht="16.5" x14ac:dyDescent="0.25">
      <c r="A28" s="347"/>
      <c r="B28" s="348"/>
      <c r="C28" s="372"/>
      <c r="D28" s="349"/>
      <c r="E28" s="350"/>
      <c r="F28" s="351"/>
      <c r="G28" s="348"/>
      <c r="H28" s="352"/>
    </row>
    <row r="29" spans="1:8" ht="16.5" x14ac:dyDescent="0.25">
      <c r="A29" s="347"/>
      <c r="B29" s="348"/>
      <c r="C29" s="372"/>
      <c r="D29" s="349"/>
      <c r="E29" s="350"/>
      <c r="F29" s="351"/>
      <c r="G29" s="348"/>
      <c r="H29" s="352"/>
    </row>
    <row r="30" spans="1:8" ht="16.5" x14ac:dyDescent="0.25">
      <c r="A30" s="347"/>
      <c r="B30" s="348"/>
      <c r="C30" s="372"/>
      <c r="D30" s="349"/>
      <c r="E30" s="350"/>
      <c r="F30" s="351"/>
      <c r="G30" s="348"/>
      <c r="H30" s="352"/>
    </row>
    <row r="31" spans="1:8" ht="16.5" x14ac:dyDescent="0.25">
      <c r="A31" s="347"/>
      <c r="B31" s="348"/>
      <c r="C31" s="372"/>
      <c r="D31" s="349"/>
      <c r="E31" s="350"/>
      <c r="F31" s="351"/>
      <c r="G31" s="348"/>
      <c r="H31" s="352"/>
    </row>
    <row r="32" spans="1:8" ht="16.5" x14ac:dyDescent="0.25">
      <c r="A32" s="347"/>
      <c r="B32" s="348"/>
      <c r="C32" s="372"/>
      <c r="D32" s="349"/>
      <c r="E32" s="350"/>
      <c r="F32" s="351"/>
      <c r="G32" s="348"/>
      <c r="H32" s="352"/>
    </row>
    <row r="33" spans="1:8" ht="16.5" x14ac:dyDescent="0.25">
      <c r="A33" s="347"/>
      <c r="B33" s="348"/>
      <c r="C33" s="372"/>
      <c r="D33" s="349"/>
      <c r="E33" s="350"/>
      <c r="F33" s="351"/>
      <c r="G33" s="348"/>
      <c r="H33" s="352"/>
    </row>
    <row r="34" spans="1:8" ht="16.5" x14ac:dyDescent="0.25">
      <c r="A34" s="347"/>
      <c r="B34" s="348"/>
      <c r="C34" s="372"/>
      <c r="D34" s="349"/>
      <c r="E34" s="350"/>
      <c r="F34" s="351"/>
      <c r="G34" s="348"/>
      <c r="H34" s="352"/>
    </row>
    <row r="35" spans="1:8" ht="16.5" x14ac:dyDescent="0.25">
      <c r="A35" s="347"/>
      <c r="B35" s="348"/>
      <c r="C35" s="372"/>
      <c r="D35" s="373"/>
      <c r="E35" s="350"/>
      <c r="F35" s="351"/>
      <c r="G35" s="348"/>
      <c r="H35" s="352"/>
    </row>
    <row r="36" spans="1:8" ht="16.5" x14ac:dyDescent="0.25">
      <c r="A36" s="347"/>
      <c r="B36" s="348"/>
      <c r="C36" s="372"/>
      <c r="D36" s="349"/>
      <c r="E36" s="350"/>
      <c r="F36" s="351"/>
      <c r="G36" s="348"/>
      <c r="H36" s="352"/>
    </row>
    <row r="37" spans="1:8" ht="16.5" x14ac:dyDescent="0.25">
      <c r="A37" s="347"/>
      <c r="B37" s="348"/>
      <c r="C37" s="372"/>
      <c r="D37" s="349"/>
      <c r="E37" s="350"/>
      <c r="F37" s="351"/>
      <c r="G37" s="348"/>
      <c r="H37" s="352"/>
    </row>
    <row r="38" spans="1:8" ht="16.5" x14ac:dyDescent="0.25">
      <c r="A38" s="353" t="s">
        <v>711</v>
      </c>
      <c r="B38" s="354"/>
      <c r="C38" s="355"/>
      <c r="D38" s="356" t="s">
        <v>712</v>
      </c>
      <c r="E38" s="353" t="s">
        <v>713</v>
      </c>
      <c r="F38" s="354"/>
      <c r="G38" s="357"/>
      <c r="H38" s="358"/>
    </row>
    <row r="39" spans="1:8" x14ac:dyDescent="0.25">
      <c r="A39" s="359"/>
      <c r="B39" s="360"/>
      <c r="C39" s="361"/>
      <c r="D39" s="362"/>
      <c r="E39" s="359"/>
      <c r="F39" s="360"/>
      <c r="G39" s="363"/>
      <c r="H39" s="364"/>
    </row>
    <row r="40" spans="1:8" x14ac:dyDescent="0.25">
      <c r="A40" s="365"/>
      <c r="B40" s="363"/>
      <c r="C40" s="364"/>
      <c r="D40" s="366"/>
      <c r="E40" s="365"/>
      <c r="F40" s="363"/>
      <c r="G40" s="363"/>
      <c r="H40" s="364"/>
    </row>
    <row r="41" spans="1:8" x14ac:dyDescent="0.25">
      <c r="A41" s="419" t="s">
        <v>84</v>
      </c>
      <c r="B41" s="420"/>
      <c r="C41" s="421"/>
      <c r="D41" s="367" t="s">
        <v>23</v>
      </c>
      <c r="E41" s="419" t="s">
        <v>715</v>
      </c>
      <c r="F41" s="420"/>
      <c r="G41" s="420"/>
      <c r="H41" s="421"/>
    </row>
    <row r="42" spans="1:8" x14ac:dyDescent="0.25">
      <c r="A42" s="422" t="s">
        <v>664</v>
      </c>
      <c r="B42" s="423"/>
      <c r="C42" s="424"/>
      <c r="D42" s="368" t="s">
        <v>730</v>
      </c>
      <c r="E42" s="422" t="s">
        <v>716</v>
      </c>
      <c r="F42" s="423"/>
      <c r="G42" s="423"/>
      <c r="H42" s="424"/>
    </row>
  </sheetData>
  <mergeCells count="9">
    <mergeCell ref="A42:C42"/>
    <mergeCell ref="E42:H42"/>
    <mergeCell ref="A3:H3"/>
    <mergeCell ref="A4:H4"/>
    <mergeCell ref="A5:H5"/>
    <mergeCell ref="A7:H7"/>
    <mergeCell ref="B9:F9"/>
    <mergeCell ref="A41:C41"/>
    <mergeCell ref="E41:H41"/>
  </mergeCells>
  <pageMargins left="0.31496062992125984" right="0.31496062992125984" top="0.35433070866141736" bottom="0.35433070866141736" header="0.11811023622047245" footer="0.11811023622047245"/>
  <pageSetup paperSize="9" scale="95"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69"/>
  <sheetViews>
    <sheetView view="pageBreakPreview" topLeftCell="A13" zoomScaleNormal="100" zoomScaleSheetLayoutView="100" workbookViewId="0">
      <selection activeCell="A60" sqref="A60:J60"/>
    </sheetView>
  </sheetViews>
  <sheetFormatPr defaultRowHeight="15" x14ac:dyDescent="0.25"/>
  <cols>
    <col min="1" max="1" width="12.7109375" style="135" customWidth="1"/>
    <col min="2" max="2" width="49.28515625" style="136" customWidth="1"/>
    <col min="3" max="3" width="11.140625" style="136" customWidth="1"/>
    <col min="4" max="4" width="16.85546875" style="136" customWidth="1"/>
    <col min="5" max="5" width="12" style="137" customWidth="1"/>
    <col min="6" max="6" width="25" style="136" customWidth="1"/>
    <col min="7" max="7" width="13.28515625" style="138" customWidth="1"/>
    <col min="8" max="8" width="13.42578125" style="136" customWidth="1"/>
    <col min="9" max="9" width="10.85546875" style="136" customWidth="1"/>
    <col min="10" max="11" width="8.42578125" style="135" customWidth="1"/>
    <col min="12" max="12" width="11.140625" style="135" customWidth="1"/>
    <col min="13" max="13" width="10.7109375" style="135" bestFit="1" customWidth="1"/>
    <col min="14" max="14" width="9.140625" style="135"/>
    <col min="15" max="15" width="11" style="135" bestFit="1" customWidth="1"/>
    <col min="16" max="16" width="11.5703125" style="135" bestFit="1" customWidth="1"/>
    <col min="17" max="16384" width="9.140625" style="135"/>
  </cols>
  <sheetData>
    <row r="2" spans="1:13" ht="15.75" x14ac:dyDescent="0.25">
      <c r="A2" s="430" t="s">
        <v>53</v>
      </c>
      <c r="B2" s="430"/>
      <c r="C2" s="430"/>
      <c r="D2" s="430"/>
      <c r="E2" s="430"/>
      <c r="F2" s="430"/>
      <c r="G2" s="430"/>
      <c r="H2" s="430"/>
      <c r="I2" s="430"/>
      <c r="J2" s="430"/>
      <c r="K2" s="215"/>
    </row>
    <row r="3" spans="1:13" x14ac:dyDescent="0.25">
      <c r="A3" s="431" t="s">
        <v>159</v>
      </c>
      <c r="B3" s="431"/>
      <c r="C3" s="431"/>
      <c r="D3" s="431"/>
      <c r="E3" s="431"/>
      <c r="F3" s="431"/>
      <c r="G3" s="431"/>
      <c r="H3" s="431"/>
      <c r="I3" s="431"/>
      <c r="J3" s="431"/>
      <c r="K3" s="216"/>
    </row>
    <row r="4" spans="1:13" x14ac:dyDescent="0.25">
      <c r="A4" s="431" t="s">
        <v>160</v>
      </c>
      <c r="B4" s="431"/>
      <c r="C4" s="431"/>
      <c r="D4" s="431"/>
      <c r="E4" s="431"/>
      <c r="F4" s="431"/>
      <c r="G4" s="431"/>
      <c r="H4" s="431"/>
      <c r="I4" s="431"/>
      <c r="J4" s="431"/>
      <c r="K4" s="216"/>
    </row>
    <row r="5" spans="1:13" ht="15.75" x14ac:dyDescent="0.25">
      <c r="A5" s="430" t="s">
        <v>161</v>
      </c>
      <c r="B5" s="430"/>
      <c r="C5" s="430"/>
      <c r="D5" s="430"/>
      <c r="E5" s="430"/>
      <c r="F5" s="430"/>
      <c r="G5" s="430"/>
      <c r="H5" s="430"/>
      <c r="I5" s="430"/>
      <c r="J5" s="430"/>
      <c r="K5" s="215"/>
    </row>
    <row r="6" spans="1:13" x14ac:dyDescent="0.25">
      <c r="A6" s="431" t="s">
        <v>162</v>
      </c>
      <c r="B6" s="431"/>
      <c r="C6" s="431"/>
      <c r="D6" s="431"/>
      <c r="E6" s="431"/>
      <c r="F6" s="431"/>
      <c r="G6" s="431"/>
      <c r="H6" s="431"/>
      <c r="I6" s="431"/>
      <c r="J6" s="431"/>
      <c r="K6" s="216"/>
    </row>
    <row r="7" spans="1:13" ht="7.5" customHeight="1" x14ac:dyDescent="0.25"/>
    <row r="8" spans="1:13" s="139" customFormat="1" ht="16.5" customHeight="1" x14ac:dyDescent="0.25">
      <c r="A8" s="429" t="s">
        <v>163</v>
      </c>
      <c r="B8" s="428" t="s">
        <v>164</v>
      </c>
      <c r="C8" s="432" t="s">
        <v>165</v>
      </c>
      <c r="D8" s="428" t="s">
        <v>166</v>
      </c>
      <c r="E8" s="433" t="s">
        <v>167</v>
      </c>
      <c r="F8" s="428" t="s">
        <v>168</v>
      </c>
      <c r="G8" s="428" t="s">
        <v>169</v>
      </c>
      <c r="H8" s="428"/>
      <c r="I8" s="428" t="s">
        <v>170</v>
      </c>
      <c r="J8" s="429" t="s">
        <v>171</v>
      </c>
      <c r="K8" s="190"/>
    </row>
    <row r="9" spans="1:13" s="139" customFormat="1" ht="56.25" customHeight="1" x14ac:dyDescent="0.25">
      <c r="A9" s="429"/>
      <c r="B9" s="428"/>
      <c r="C9" s="432"/>
      <c r="D9" s="428"/>
      <c r="E9" s="433"/>
      <c r="F9" s="428"/>
      <c r="G9" s="127" t="s">
        <v>172</v>
      </c>
      <c r="H9" s="214" t="s">
        <v>173</v>
      </c>
      <c r="I9" s="428"/>
      <c r="J9" s="429"/>
      <c r="K9" s="190"/>
    </row>
    <row r="10" spans="1:13" s="139" customFormat="1" x14ac:dyDescent="0.25">
      <c r="A10" s="128" t="s">
        <v>174</v>
      </c>
      <c r="B10" s="125" t="s">
        <v>175</v>
      </c>
      <c r="C10" s="125" t="s">
        <v>176</v>
      </c>
      <c r="D10" s="125" t="s">
        <v>177</v>
      </c>
      <c r="E10" s="126" t="s">
        <v>178</v>
      </c>
      <c r="F10" s="125" t="s">
        <v>179</v>
      </c>
      <c r="G10" s="127" t="s">
        <v>180</v>
      </c>
      <c r="H10" s="125" t="s">
        <v>181</v>
      </c>
      <c r="I10" s="125" t="s">
        <v>182</v>
      </c>
      <c r="J10" s="124" t="s">
        <v>183</v>
      </c>
      <c r="K10" s="191"/>
    </row>
    <row r="11" spans="1:13" x14ac:dyDescent="0.25">
      <c r="A11" s="108" t="str">
        <f>+RPCPPE!B10</f>
        <v>BUILDING</v>
      </c>
      <c r="B11" s="214"/>
      <c r="C11" s="214"/>
      <c r="D11" s="214"/>
      <c r="E11" s="214"/>
      <c r="F11" s="214"/>
      <c r="G11" s="164"/>
      <c r="H11" s="94"/>
      <c r="I11" s="94"/>
      <c r="J11" s="107"/>
      <c r="K11" s="192"/>
    </row>
    <row r="12" spans="1:13" ht="30" x14ac:dyDescent="0.25">
      <c r="A12" s="108"/>
      <c r="B12" s="99" t="str">
        <f>+RPCPPE!D11</f>
        <v>Building - Regional Office</v>
      </c>
      <c r="C12" s="100" t="s">
        <v>184</v>
      </c>
      <c r="D12" s="100" t="s">
        <v>185</v>
      </c>
      <c r="E12" s="177">
        <f>+RPCPPE!G11</f>
        <v>43462</v>
      </c>
      <c r="F12" s="100" t="str">
        <f>+RPCPPE!E11</f>
        <v>2018-NFA-00B-BS-A-0028.5</v>
      </c>
      <c r="G12" s="175">
        <f>+RPCPPE!I11</f>
        <v>1782828.5</v>
      </c>
      <c r="H12" s="197">
        <f>1086117.5+496503</f>
        <v>1582620.5</v>
      </c>
      <c r="I12" s="198">
        <v>44926</v>
      </c>
      <c r="J12" s="107"/>
      <c r="K12" s="192"/>
      <c r="M12" s="184"/>
    </row>
    <row r="13" spans="1:13" x14ac:dyDescent="0.25">
      <c r="A13" s="108"/>
      <c r="B13" s="99" t="str">
        <f>+RPCPPE!D12</f>
        <v>Building - Regional Office</v>
      </c>
      <c r="C13" s="100" t="s">
        <v>184</v>
      </c>
      <c r="D13" s="104" t="s">
        <v>186</v>
      </c>
      <c r="E13" s="177">
        <f>+RPCPPE!G12</f>
        <v>28915</v>
      </c>
      <c r="F13" s="100" t="str">
        <f>+RPCPPE!E12</f>
        <v>1979-NFA-002-BS-A-001</v>
      </c>
      <c r="G13" s="175">
        <f>+RPCPPE!I12</f>
        <v>1476980.09</v>
      </c>
      <c r="H13" s="185">
        <f>22183.8+12995+5899+17011.81+40564.77+25163.31+24299.4</f>
        <v>148117.09</v>
      </c>
      <c r="I13" s="198">
        <v>44926</v>
      </c>
      <c r="J13" s="107"/>
      <c r="K13" s="192"/>
      <c r="M13" s="184"/>
    </row>
    <row r="14" spans="1:13" s="139" customFormat="1" x14ac:dyDescent="0.25">
      <c r="A14" s="108"/>
      <c r="B14" s="178" t="s">
        <v>672</v>
      </c>
      <c r="C14" s="214"/>
      <c r="D14" s="133"/>
      <c r="E14" s="179"/>
      <c r="F14" s="214"/>
      <c r="G14" s="122">
        <f>SUM(G12:G13)</f>
        <v>3259808.59</v>
      </c>
      <c r="H14" s="122">
        <f>SUM(H12:H13)</f>
        <v>1730737.59</v>
      </c>
      <c r="I14" s="198"/>
      <c r="J14" s="131"/>
      <c r="K14" s="194"/>
      <c r="L14" s="135"/>
      <c r="M14" s="184"/>
    </row>
    <row r="15" spans="1:13" x14ac:dyDescent="0.25">
      <c r="A15" s="108" t="str">
        <f>+RPCPPE!B14</f>
        <v>COMMUNICATION EQUIPMENT</v>
      </c>
      <c r="B15" s="99"/>
      <c r="C15" s="100"/>
      <c r="D15" s="104"/>
      <c r="E15" s="177"/>
      <c r="F15" s="100"/>
      <c r="G15" s="175"/>
      <c r="H15" s="94"/>
      <c r="I15" s="198"/>
      <c r="J15" s="107"/>
      <c r="K15" s="192"/>
      <c r="M15" s="184"/>
    </row>
    <row r="16" spans="1:13" s="136" customFormat="1" x14ac:dyDescent="0.25">
      <c r="A16" s="108"/>
      <c r="B16" s="99" t="e">
        <f>+RPCPPE!#REF!</f>
        <v>#REF!</v>
      </c>
      <c r="C16" s="100" t="s">
        <v>184</v>
      </c>
      <c r="D16" s="104" t="s">
        <v>186</v>
      </c>
      <c r="E16" s="177"/>
      <c r="F16" s="100" t="e">
        <f>+RPCPPE!#REF!</f>
        <v>#REF!</v>
      </c>
      <c r="G16" s="175" t="e">
        <f>+RPCPPE!#REF!</f>
        <v>#REF!</v>
      </c>
      <c r="H16" s="185">
        <v>3149.74</v>
      </c>
      <c r="I16" s="198">
        <v>44926</v>
      </c>
      <c r="J16" s="94"/>
      <c r="K16" s="116"/>
      <c r="M16" s="200"/>
    </row>
    <row r="17" spans="1:13" ht="45" x14ac:dyDescent="0.25">
      <c r="A17" s="108"/>
      <c r="B17" s="99" t="str">
        <f>+RPCPPE!D24</f>
        <v>SYNOLOGY DS923+ 4BAY DISKSTATION NETWORK ATTACHED STORAGE (NAS) WITH 4PCS NAS 3.5" SATA HARDRIVE AND 16GB SODIMM MEMORY</v>
      </c>
      <c r="C17" s="100" t="s">
        <v>184</v>
      </c>
      <c r="D17" s="104" t="s">
        <v>186</v>
      </c>
      <c r="E17" s="177">
        <f>+RPCPPE!G24</f>
        <v>45127</v>
      </c>
      <c r="F17" s="100" t="str">
        <f>+RPCPPE!E24</f>
        <v>2023-NFA-00B-DP-B-001</v>
      </c>
      <c r="G17" s="175">
        <f>+RPCPPE!I24</f>
        <v>70670</v>
      </c>
      <c r="H17" s="185">
        <v>247131.38</v>
      </c>
      <c r="I17" s="198">
        <v>44926</v>
      </c>
      <c r="J17" s="107"/>
      <c r="K17" s="192"/>
      <c r="M17" s="184"/>
    </row>
    <row r="18" spans="1:13" x14ac:dyDescent="0.25">
      <c r="A18" s="108"/>
      <c r="B18" s="178" t="s">
        <v>672</v>
      </c>
      <c r="C18" s="214"/>
      <c r="D18" s="133"/>
      <c r="E18" s="179"/>
      <c r="F18" s="214"/>
      <c r="G18" s="122" t="e">
        <f>SUM(G16:G17)</f>
        <v>#REF!</v>
      </c>
      <c r="H18" s="122">
        <f>SUM(H16:H17)</f>
        <v>250281.12</v>
      </c>
      <c r="I18" s="198"/>
      <c r="J18" s="107"/>
      <c r="K18" s="192"/>
      <c r="M18" s="184"/>
    </row>
    <row r="19" spans="1:13" x14ac:dyDescent="0.25">
      <c r="A19" s="108" t="str">
        <f>+RPCPPE!B21</f>
        <v>IT EQUIPMENT AND SOFTWARE</v>
      </c>
      <c r="B19" s="99"/>
      <c r="C19" s="100"/>
      <c r="D19" s="104"/>
      <c r="E19" s="177"/>
      <c r="F19" s="100"/>
      <c r="G19" s="175"/>
      <c r="H19" s="185"/>
      <c r="I19" s="198"/>
      <c r="J19" s="107"/>
      <c r="K19" s="192"/>
      <c r="M19" s="184"/>
    </row>
    <row r="20" spans="1:13" x14ac:dyDescent="0.25">
      <c r="A20" s="108"/>
      <c r="B20" s="99" t="str">
        <f>+RPCPPE!D22</f>
        <v>SERVER, HP PROLIANT (UPGRADED)</v>
      </c>
      <c r="C20" s="100" t="s">
        <v>184</v>
      </c>
      <c r="D20" s="104" t="s">
        <v>186</v>
      </c>
      <c r="E20" s="177">
        <f>+RPCPPE!G22</f>
        <v>39086</v>
      </c>
      <c r="F20" s="100" t="str">
        <f>+RPCPPE!E22</f>
        <v>2007-NFA-002-DP-F-001</v>
      </c>
      <c r="G20" s="175">
        <f>+RPCPPE!I22</f>
        <v>244431.05</v>
      </c>
      <c r="H20" s="185">
        <v>12221.56</v>
      </c>
      <c r="I20" s="198">
        <v>44926</v>
      </c>
      <c r="J20" s="107"/>
      <c r="K20" s="192"/>
      <c r="M20" s="184"/>
    </row>
    <row r="21" spans="1:13" ht="45" x14ac:dyDescent="0.25">
      <c r="A21" s="108"/>
      <c r="B21" s="99" t="str">
        <f>+RPCPPE!D23</f>
        <v>B3-420 Notebook 14" Core15-1135g7 / 16B DDR4 / 512GB NVME PCI-E SSD, Intel IRIS XE Graphics, SN# JEXPM22325000059</v>
      </c>
      <c r="C21" s="100" t="s">
        <v>184</v>
      </c>
      <c r="D21" s="104" t="s">
        <v>186</v>
      </c>
      <c r="E21" s="177">
        <f>+RPCPPE!G23</f>
        <v>44883</v>
      </c>
      <c r="F21" s="100" t="str">
        <f>+RPCPPE!E23</f>
        <v>2022-NFA-MSD-DP-T-059</v>
      </c>
      <c r="G21" s="175">
        <f>+RPCPPE!I23</f>
        <v>56400</v>
      </c>
      <c r="H21" s="185">
        <v>55507</v>
      </c>
      <c r="I21" s="198">
        <v>44926</v>
      </c>
      <c r="J21" s="107"/>
      <c r="K21" s="192"/>
      <c r="M21" s="184"/>
    </row>
    <row r="22" spans="1:13" x14ac:dyDescent="0.25">
      <c r="A22" s="108"/>
      <c r="B22" s="99" t="e">
        <f>+RPCPPE!#REF!</f>
        <v>#REF!</v>
      </c>
      <c r="C22" s="100" t="s">
        <v>184</v>
      </c>
      <c r="D22" s="104" t="s">
        <v>186</v>
      </c>
      <c r="E22" s="177" t="e">
        <f>+RPCPPE!#REF!</f>
        <v>#REF!</v>
      </c>
      <c r="F22" s="100" t="e">
        <f>+RPCPPE!#REF!</f>
        <v>#REF!</v>
      </c>
      <c r="G22" s="175" t="e">
        <f>+RPCPPE!#REF!</f>
        <v>#REF!</v>
      </c>
      <c r="H22" s="185">
        <v>2883.26</v>
      </c>
      <c r="I22" s="198">
        <v>44926</v>
      </c>
      <c r="J22" s="107"/>
      <c r="K22" s="192"/>
      <c r="M22" s="184"/>
    </row>
    <row r="23" spans="1:13" x14ac:dyDescent="0.25">
      <c r="A23" s="108"/>
      <c r="B23" s="178" t="s">
        <v>672</v>
      </c>
      <c r="C23" s="100"/>
      <c r="D23" s="104"/>
      <c r="E23" s="177"/>
      <c r="F23" s="100"/>
      <c r="G23" s="199" t="e">
        <f>SUM(G20:G22)</f>
        <v>#REF!</v>
      </c>
      <c r="H23" s="199">
        <f>SUM(H20:H22)</f>
        <v>70611.819999999992</v>
      </c>
      <c r="I23" s="198"/>
      <c r="J23" s="107"/>
      <c r="K23" s="192"/>
      <c r="M23" s="184"/>
    </row>
    <row r="24" spans="1:13" hidden="1" x14ac:dyDescent="0.25">
      <c r="A24" s="108" t="str">
        <f>+RPCPPE!B21</f>
        <v>IT EQUIPMENT AND SOFTWARE</v>
      </c>
      <c r="B24" s="99"/>
      <c r="C24" s="100"/>
      <c r="D24" s="104"/>
      <c r="E24" s="177"/>
      <c r="F24" s="100"/>
      <c r="G24" s="175"/>
      <c r="H24" s="94"/>
      <c r="I24" s="198"/>
      <c r="J24" s="107"/>
      <c r="K24" s="192"/>
      <c r="M24" s="184"/>
    </row>
    <row r="25" spans="1:13" s="136" customFormat="1" hidden="1" x14ac:dyDescent="0.25">
      <c r="A25" s="108"/>
      <c r="B25" s="99"/>
      <c r="C25" s="100"/>
      <c r="D25" s="104"/>
      <c r="E25" s="177"/>
      <c r="F25" s="100"/>
      <c r="G25" s="175"/>
      <c r="H25" s="185"/>
      <c r="I25" s="198"/>
      <c r="J25" s="94"/>
      <c r="K25" s="116"/>
      <c r="M25" s="200"/>
    </row>
    <row r="26" spans="1:13" s="136" customFormat="1" hidden="1" x14ac:dyDescent="0.25">
      <c r="A26" s="108"/>
      <c r="B26" s="99"/>
      <c r="C26" s="100"/>
      <c r="D26" s="104"/>
      <c r="E26" s="177"/>
      <c r="F26" s="100"/>
      <c r="G26" s="175"/>
      <c r="H26" s="185"/>
      <c r="I26" s="198"/>
      <c r="J26" s="94"/>
      <c r="K26" s="116"/>
      <c r="M26" s="200"/>
    </row>
    <row r="27" spans="1:13" s="136" customFormat="1" hidden="1" x14ac:dyDescent="0.25">
      <c r="A27" s="108"/>
      <c r="B27" s="99"/>
      <c r="C27" s="100"/>
      <c r="D27" s="104"/>
      <c r="E27" s="177"/>
      <c r="F27" s="100"/>
      <c r="G27" s="175"/>
      <c r="H27" s="185"/>
      <c r="I27" s="198"/>
      <c r="J27" s="94"/>
      <c r="K27" s="116"/>
      <c r="M27" s="200"/>
    </row>
    <row r="28" spans="1:13" hidden="1" x14ac:dyDescent="0.25">
      <c r="A28" s="108"/>
      <c r="B28" s="178" t="s">
        <v>672</v>
      </c>
      <c r="C28" s="100"/>
      <c r="D28" s="104"/>
      <c r="E28" s="177"/>
      <c r="F28" s="100"/>
      <c r="G28" s="199">
        <f>SUM(G25:G27)</f>
        <v>0</v>
      </c>
      <c r="H28" s="199">
        <f>SUM(H25:H27)</f>
        <v>0</v>
      </c>
      <c r="I28" s="198"/>
      <c r="J28" s="107"/>
      <c r="K28" s="192"/>
      <c r="M28" s="184"/>
    </row>
    <row r="29" spans="1:13" x14ac:dyDescent="0.25">
      <c r="A29" s="108" t="str">
        <f>+RPCPPE!B27</f>
        <v>FURNITURE, FIXTURES &amp; BOOKS</v>
      </c>
      <c r="B29" s="99"/>
      <c r="C29" s="100"/>
      <c r="D29" s="104"/>
      <c r="E29" s="177"/>
      <c r="F29" s="100"/>
      <c r="G29" s="175"/>
      <c r="H29" s="94"/>
      <c r="I29" s="198"/>
      <c r="J29" s="107"/>
      <c r="K29" s="192"/>
      <c r="M29" s="184"/>
    </row>
    <row r="30" spans="1:13" x14ac:dyDescent="0.25">
      <c r="A30" s="108"/>
      <c r="B30" s="99" t="e">
        <f>+RPCPPE!#REF!</f>
        <v>#REF!</v>
      </c>
      <c r="C30" s="100" t="s">
        <v>184</v>
      </c>
      <c r="D30" s="104" t="s">
        <v>186</v>
      </c>
      <c r="E30" s="177"/>
      <c r="F30" s="100" t="e">
        <f>+RPCPPE!#REF!</f>
        <v>#REF!</v>
      </c>
      <c r="G30" s="175" t="e">
        <f>+RPCPPE!#REF!</f>
        <v>#REF!</v>
      </c>
      <c r="H30" s="185">
        <v>8157.58</v>
      </c>
      <c r="I30" s="198">
        <v>44926</v>
      </c>
      <c r="J30" s="107"/>
      <c r="K30" s="192"/>
      <c r="M30" s="184"/>
    </row>
    <row r="31" spans="1:13" x14ac:dyDescent="0.25">
      <c r="A31" s="108"/>
      <c r="B31" s="99" t="str">
        <f>+RPCPPE!D30</f>
        <v>WINDOW BLINDS (Blue)</v>
      </c>
      <c r="C31" s="100" t="s">
        <v>184</v>
      </c>
      <c r="D31" s="104" t="s">
        <v>186</v>
      </c>
      <c r="E31" s="177">
        <f>+RPCPPE!G30</f>
        <v>45148</v>
      </c>
      <c r="F31" s="100" t="str">
        <f>+RPCPPE!E30</f>
        <v>2023-NFA-00B-FF-L-003</v>
      </c>
      <c r="G31" s="175">
        <f>+RPCPPE!I30</f>
        <v>83650</v>
      </c>
      <c r="H31" s="185">
        <v>78872</v>
      </c>
      <c r="I31" s="198">
        <v>44926</v>
      </c>
      <c r="J31" s="107"/>
      <c r="K31" s="192"/>
      <c r="M31" s="184"/>
    </row>
    <row r="32" spans="1:13" x14ac:dyDescent="0.25">
      <c r="A32" s="108"/>
      <c r="B32" s="178" t="s">
        <v>672</v>
      </c>
      <c r="C32" s="100"/>
      <c r="D32" s="104"/>
      <c r="E32" s="177"/>
      <c r="F32" s="100"/>
      <c r="G32" s="199" t="e">
        <f>SUM(G30:G31)</f>
        <v>#REF!</v>
      </c>
      <c r="H32" s="199">
        <f>SUM(H30:H31)</f>
        <v>87029.58</v>
      </c>
      <c r="I32" s="198"/>
      <c r="J32" s="107"/>
      <c r="K32" s="192"/>
      <c r="M32" s="184"/>
    </row>
    <row r="33" spans="1:16" x14ac:dyDescent="0.25">
      <c r="A33" s="108" t="str">
        <f>+RPCPPE!B34</f>
        <v>MOTOR VEHICLES, LAND TRANS. EQUIPT AND ACCESORIES</v>
      </c>
      <c r="B33" s="99"/>
      <c r="C33" s="100"/>
      <c r="D33" s="104"/>
      <c r="E33" s="177"/>
      <c r="F33" s="100"/>
      <c r="G33" s="175"/>
      <c r="H33" s="94"/>
      <c r="I33" s="198"/>
      <c r="J33" s="107"/>
      <c r="K33" s="192"/>
      <c r="M33" s="184"/>
    </row>
    <row r="34" spans="1:16" ht="30" x14ac:dyDescent="0.25">
      <c r="A34" s="108"/>
      <c r="B34" s="99" t="str">
        <f>+RPCPPE!D35</f>
        <v xml:space="preserve">TOYOTA INNOVA DSL MODEL 2005 ENGINE # 2KD-9547460 </v>
      </c>
      <c r="C34" s="100" t="s">
        <v>184</v>
      </c>
      <c r="D34" s="104" t="s">
        <v>186</v>
      </c>
      <c r="E34" s="177">
        <f>+RPCPPE!G35</f>
        <v>38737</v>
      </c>
      <c r="F34" s="100" t="str">
        <f>+RPCPPE!E35</f>
        <v>2006-NFA-GSD-LT-C-132</v>
      </c>
      <c r="G34" s="175">
        <f>+RPCPPE!I35</f>
        <v>848000</v>
      </c>
      <c r="H34" s="185">
        <f>+G34*0.05</f>
        <v>42400</v>
      </c>
      <c r="I34" s="198">
        <v>44926</v>
      </c>
      <c r="J34" s="107"/>
      <c r="K34" s="192"/>
      <c r="M34" s="184"/>
      <c r="N34" s="165"/>
      <c r="O34" s="165"/>
      <c r="P34" s="165"/>
    </row>
    <row r="35" spans="1:16" ht="30" x14ac:dyDescent="0.25">
      <c r="A35" s="108"/>
      <c r="B35" s="99" t="str">
        <f>+RPCPPE!D36</f>
        <v>ISUZU CROSSWIND SPORTIVO ENGINE # 4JA1M57459 CHASSIS # PABTBBR54FG2089995</v>
      </c>
      <c r="C35" s="100" t="s">
        <v>184</v>
      </c>
      <c r="D35" s="104" t="s">
        <v>186</v>
      </c>
      <c r="E35" s="177">
        <f>+RPCPPE!G36</f>
        <v>42636</v>
      </c>
      <c r="F35" s="100" t="str">
        <f>+RPCPPE!E36</f>
        <v>2016-NFA-GSD-LT-C-203</v>
      </c>
      <c r="G35" s="175">
        <f>+RPCPPE!I36</f>
        <v>1180000</v>
      </c>
      <c r="H35" s="185">
        <v>179125</v>
      </c>
      <c r="I35" s="198">
        <v>44926</v>
      </c>
      <c r="J35" s="107"/>
      <c r="K35" s="192"/>
      <c r="M35" s="184"/>
      <c r="N35" s="165"/>
      <c r="O35" s="186"/>
      <c r="P35" s="187"/>
    </row>
    <row r="36" spans="1:16" ht="30" x14ac:dyDescent="0.25">
      <c r="A36" s="108"/>
      <c r="B36" s="99" t="str">
        <f>+RPCPPE!D37</f>
        <v>2021 MITSUBISHI STRADA GLS 2.4D 2WD, 4N15UHC6103 SILVER METALIC, AT</v>
      </c>
      <c r="C36" s="100" t="s">
        <v>184</v>
      </c>
      <c r="D36" s="104" t="s">
        <v>186</v>
      </c>
      <c r="E36" s="177">
        <f>+RPCPPE!G37</f>
        <v>44439</v>
      </c>
      <c r="F36" s="100" t="str">
        <f>+RPCPPE!E37</f>
        <v>2021-NFA-GSD-LT-C-229</v>
      </c>
      <c r="G36" s="175">
        <f>+RPCPPE!I37</f>
        <v>1397400</v>
      </c>
      <c r="H36" s="185">
        <v>1144536</v>
      </c>
      <c r="I36" s="198">
        <v>44926</v>
      </c>
      <c r="J36" s="107"/>
      <c r="K36" s="192"/>
      <c r="M36" s="184"/>
      <c r="N36" s="165"/>
      <c r="O36" s="165"/>
      <c r="P36" s="165"/>
    </row>
    <row r="37" spans="1:16" x14ac:dyDescent="0.25">
      <c r="A37" s="108"/>
      <c r="B37" s="178" t="s">
        <v>672</v>
      </c>
      <c r="C37" s="100"/>
      <c r="D37" s="104"/>
      <c r="E37" s="177"/>
      <c r="F37" s="100"/>
      <c r="G37" s="199">
        <f>SUM(G34:G36)</f>
        <v>3425400</v>
      </c>
      <c r="H37" s="199">
        <f>SUM(H34:H36)</f>
        <v>1366061</v>
      </c>
      <c r="I37" s="198"/>
      <c r="J37" s="107"/>
      <c r="K37" s="192"/>
      <c r="M37" s="184"/>
    </row>
    <row r="38" spans="1:16" x14ac:dyDescent="0.25">
      <c r="A38" s="108" t="str">
        <f>+RPCPPE!B39</f>
        <v>OFFICE EQUIPMENT</v>
      </c>
      <c r="B38" s="99"/>
      <c r="C38" s="100"/>
      <c r="D38" s="104"/>
      <c r="E38" s="177"/>
      <c r="F38" s="100"/>
      <c r="G38" s="175"/>
      <c r="H38" s="94"/>
      <c r="I38" s="198"/>
      <c r="J38" s="107"/>
      <c r="K38" s="192"/>
      <c r="M38" s="184"/>
    </row>
    <row r="39" spans="1:16" ht="30" x14ac:dyDescent="0.25">
      <c r="A39" s="108"/>
      <c r="B39" s="99" t="str">
        <f>+RPCPPE!D40</f>
        <v>ROOM AIRCONDITIONER, SPLIT TYPE-WALL MOUNTED, 2.0 HP, W/ INVERTER , PANASONIC</v>
      </c>
      <c r="C39" s="100" t="s">
        <v>184</v>
      </c>
      <c r="D39" s="104" t="s">
        <v>186</v>
      </c>
      <c r="E39" s="177">
        <f>+RPCPPE!G40</f>
        <v>40919</v>
      </c>
      <c r="F39" s="100" t="str">
        <f>+RPCPPE!E40</f>
        <v>2012-NFA-0B0-OE-C-010</v>
      </c>
      <c r="G39" s="175">
        <f>+RPCPPE!I40</f>
        <v>55000</v>
      </c>
      <c r="H39" s="185">
        <v>2750</v>
      </c>
      <c r="I39" s="198">
        <v>44926</v>
      </c>
      <c r="J39" s="107"/>
      <c r="K39" s="192"/>
      <c r="M39" s="184"/>
    </row>
    <row r="40" spans="1:16" ht="30" x14ac:dyDescent="0.25">
      <c r="A40" s="108"/>
      <c r="B40" s="99" t="str">
        <f>+RPCPPE!D41</f>
        <v>AIRCONDITIONER , PACKED TYPE-FLOOR MOUNTED , 3 TONS,  KOPPEL</v>
      </c>
      <c r="C40" s="100" t="s">
        <v>184</v>
      </c>
      <c r="D40" s="104" t="s">
        <v>186</v>
      </c>
      <c r="E40" s="177">
        <f>+RPCPPE!G41</f>
        <v>41269</v>
      </c>
      <c r="F40" s="100" t="str">
        <f>+RPCPPE!E41</f>
        <v>2012-NFA-0B0-OE-C-011</v>
      </c>
      <c r="G40" s="175">
        <f>+RPCPPE!I41</f>
        <v>81600</v>
      </c>
      <c r="H40" s="185">
        <v>4080</v>
      </c>
      <c r="I40" s="198">
        <v>44926</v>
      </c>
      <c r="J40" s="107"/>
      <c r="K40" s="192"/>
      <c r="M40" s="184"/>
    </row>
    <row r="41" spans="1:16" ht="30" x14ac:dyDescent="0.25">
      <c r="A41" s="108"/>
      <c r="B41" s="99" t="str">
        <f>+RPCPPE!D42</f>
        <v>AIRCONDITIONER , PACKED TYPE-FLOOR MOUNTED , 3 TONS,  KOPPEL</v>
      </c>
      <c r="C41" s="100" t="s">
        <v>184</v>
      </c>
      <c r="D41" s="104" t="s">
        <v>186</v>
      </c>
      <c r="E41" s="177">
        <f>+RPCPPE!G42</f>
        <v>41269</v>
      </c>
      <c r="F41" s="100" t="str">
        <f>+RPCPPE!E42</f>
        <v>2012-NFA-0B0-OE-C-013</v>
      </c>
      <c r="G41" s="175">
        <f>+RPCPPE!I42</f>
        <v>81600</v>
      </c>
      <c r="H41" s="185">
        <v>4080</v>
      </c>
      <c r="I41" s="198">
        <v>44926</v>
      </c>
      <c r="J41" s="107"/>
      <c r="K41" s="192"/>
      <c r="M41" s="184"/>
    </row>
    <row r="42" spans="1:16" ht="30" x14ac:dyDescent="0.25">
      <c r="A42" s="108"/>
      <c r="B42" s="99" t="str">
        <f>+RPCPPE!D43</f>
        <v>CHILLER, 2 DOOR SHOWCASE TYPE, CAPACITY 1,000 LTRS</v>
      </c>
      <c r="C42" s="100" t="s">
        <v>184</v>
      </c>
      <c r="D42" s="104" t="s">
        <v>186</v>
      </c>
      <c r="E42" s="177">
        <f>+RPCPPE!G43</f>
        <v>42718</v>
      </c>
      <c r="F42" s="100" t="str">
        <f>+RPCPPE!E43</f>
        <v>2016-NFA-00B-OE-T-003</v>
      </c>
      <c r="G42" s="175">
        <f>+RPCPPE!I43</f>
        <v>68000</v>
      </c>
      <c r="H42" s="185">
        <v>3400</v>
      </c>
      <c r="I42" s="198">
        <v>44926</v>
      </c>
      <c r="J42" s="107"/>
      <c r="K42" s="192"/>
      <c r="M42" s="184"/>
    </row>
    <row r="43" spans="1:16" x14ac:dyDescent="0.25">
      <c r="A43" s="108"/>
      <c r="B43" s="99" t="str">
        <f>+RPCPPE!D44</f>
        <v>KOPPEL 3.0 TR FLOOR MOUNTED INVERTER</v>
      </c>
      <c r="C43" s="100" t="s">
        <v>184</v>
      </c>
      <c r="D43" s="104" t="s">
        <v>186</v>
      </c>
      <c r="E43" s="177">
        <f>+RPCPPE!G44</f>
        <v>44656</v>
      </c>
      <c r="F43" s="100" t="str">
        <f>+RPCPPE!E44</f>
        <v>2022-NFA-00B-OE-C-020</v>
      </c>
      <c r="G43" s="175">
        <f>+RPCPPE!I44</f>
        <v>106000</v>
      </c>
      <c r="H43" s="185">
        <v>90898</v>
      </c>
      <c r="I43" s="198">
        <v>44926</v>
      </c>
      <c r="J43" s="107"/>
      <c r="K43" s="192"/>
      <c r="M43" s="184"/>
    </row>
    <row r="44" spans="1:16" x14ac:dyDescent="0.25">
      <c r="A44" s="108"/>
      <c r="B44" s="178" t="s">
        <v>672</v>
      </c>
      <c r="C44" s="100"/>
      <c r="D44" s="104"/>
      <c r="E44" s="177"/>
      <c r="F44" s="100"/>
      <c r="G44" s="199">
        <f>SUM(G39:G43)</f>
        <v>392200</v>
      </c>
      <c r="H44" s="199">
        <f>SUM(H39:H43)</f>
        <v>105208</v>
      </c>
      <c r="I44" s="198"/>
      <c r="J44" s="107"/>
      <c r="K44" s="192"/>
      <c r="M44" s="184"/>
    </row>
    <row r="45" spans="1:16" x14ac:dyDescent="0.25">
      <c r="A45" s="108" t="str">
        <f>+RPCPPE!B50</f>
        <v>TECHNICAL &amp; SCIENTIFIC EQUIPMENT EQUIPMENT</v>
      </c>
      <c r="B45" s="99"/>
      <c r="C45" s="100"/>
      <c r="D45" s="104"/>
      <c r="E45" s="177"/>
      <c r="F45" s="100"/>
      <c r="G45" s="175"/>
      <c r="H45" s="94"/>
      <c r="I45" s="198"/>
      <c r="J45" s="107"/>
      <c r="K45" s="192"/>
      <c r="M45" s="184"/>
    </row>
    <row r="46" spans="1:16" ht="30" x14ac:dyDescent="0.25">
      <c r="A46" s="108"/>
      <c r="B46" s="99" t="str">
        <f>+RPCPPE!D51</f>
        <v>OHAUS ANALYTICAL BALANCE ADVENTURE 210G X 0.1 MODEL :AR 2140</v>
      </c>
      <c r="C46" s="100" t="s">
        <v>184</v>
      </c>
      <c r="D46" s="104" t="s">
        <v>186</v>
      </c>
      <c r="E46" s="177">
        <f>+RPCPPE!G51</f>
        <v>38952</v>
      </c>
      <c r="F46" s="100" t="str">
        <f>+RPCPPE!E51</f>
        <v>2006-NFA-00B-TS-D-001</v>
      </c>
      <c r="G46" s="175">
        <f>+RPCPPE!I51</f>
        <v>80590</v>
      </c>
      <c r="H46" s="185">
        <f>+G46*0.05</f>
        <v>4029.5</v>
      </c>
      <c r="I46" s="198">
        <v>44926</v>
      </c>
      <c r="J46" s="107"/>
      <c r="K46" s="192"/>
      <c r="M46" s="184"/>
    </row>
    <row r="47" spans="1:16" ht="30" x14ac:dyDescent="0.25">
      <c r="A47" s="108"/>
      <c r="B47" s="99" t="str">
        <f>+RPCPPE!D52</f>
        <v>OVEN LABORATORY FOR DRYING BINDER BRAND, GERMANY MODEL;ED 53</v>
      </c>
      <c r="C47" s="100" t="s">
        <v>184</v>
      </c>
      <c r="D47" s="104" t="s">
        <v>186</v>
      </c>
      <c r="E47" s="177">
        <f>+RPCPPE!G52</f>
        <v>39352</v>
      </c>
      <c r="F47" s="100" t="str">
        <f>+RPCPPE!E52</f>
        <v>2007-NFA-TRD-TS-D-315</v>
      </c>
      <c r="G47" s="175">
        <f>+RPCPPE!I52</f>
        <v>55000</v>
      </c>
      <c r="H47" s="185">
        <f>+G47*0.05</f>
        <v>2750</v>
      </c>
      <c r="I47" s="198">
        <v>44926</v>
      </c>
      <c r="J47" s="107"/>
      <c r="K47" s="192"/>
      <c r="M47" s="184"/>
    </row>
    <row r="48" spans="1:16" ht="30" x14ac:dyDescent="0.25">
      <c r="A48" s="108"/>
      <c r="B48" s="99" t="str">
        <f>+RPCPPE!D53</f>
        <v>LABORATORY SAMPLE GRINDER ROMER MILL SERIES W/ ACCESSORIES</v>
      </c>
      <c r="C48" s="100" t="s">
        <v>184</v>
      </c>
      <c r="D48" s="104" t="s">
        <v>186</v>
      </c>
      <c r="E48" s="177">
        <f>+RPCPPE!G53</f>
        <v>40595</v>
      </c>
      <c r="F48" s="100" t="str">
        <f>+RPCPPE!E53</f>
        <v>2011-NFA-TRD-TS-D-1163</v>
      </c>
      <c r="G48" s="175">
        <f>+RPCPPE!I53</f>
        <v>299500</v>
      </c>
      <c r="H48" s="185">
        <f>+G48*0.05</f>
        <v>14975</v>
      </c>
      <c r="I48" s="198">
        <v>44926</v>
      </c>
      <c r="J48" s="107"/>
      <c r="K48" s="192"/>
      <c r="M48" s="184"/>
    </row>
    <row r="49" spans="1:13" ht="30" x14ac:dyDescent="0.25">
      <c r="A49" s="108"/>
      <c r="B49" s="99" t="str">
        <f>+RPCPPE!D54</f>
        <v>ANALYTICAL BALANCE CAPACITY 220G X 0.1MG (BRAND: OHAUS)</v>
      </c>
      <c r="C49" s="100" t="s">
        <v>184</v>
      </c>
      <c r="D49" s="104" t="s">
        <v>186</v>
      </c>
      <c r="E49" s="177">
        <f>+RPCPPE!G54</f>
        <v>42857</v>
      </c>
      <c r="F49" s="100" t="str">
        <f>+RPCPPE!E54</f>
        <v>2017-NFA-TRS-TS-D-703</v>
      </c>
      <c r="G49" s="175">
        <f>+RPCPPE!I54</f>
        <v>63930</v>
      </c>
      <c r="H49" s="185">
        <v>29522</v>
      </c>
      <c r="I49" s="198">
        <v>44926</v>
      </c>
      <c r="J49" s="107"/>
      <c r="K49" s="192"/>
      <c r="M49" s="184"/>
    </row>
    <row r="50" spans="1:13" ht="30" x14ac:dyDescent="0.25">
      <c r="A50" s="108"/>
      <c r="B50" s="99" t="str">
        <f>+RPCPPE!D55</f>
        <v>LABORATORY POLISHING MACHINE W/ BASIC TOOLS ACCESSORIES</v>
      </c>
      <c r="C50" s="100" t="s">
        <v>184</v>
      </c>
      <c r="D50" s="104" t="s">
        <v>186</v>
      </c>
      <c r="E50" s="177">
        <f>+RPCPPE!G55</f>
        <v>41591</v>
      </c>
      <c r="F50" s="100" t="str">
        <f>+RPCPPE!E55</f>
        <v>2013-NFA-TRS-TS-P-008</v>
      </c>
      <c r="G50" s="175">
        <f>+RPCPPE!I55</f>
        <v>248000</v>
      </c>
      <c r="H50" s="185">
        <v>30164</v>
      </c>
      <c r="I50" s="198">
        <v>44926</v>
      </c>
      <c r="J50" s="107"/>
      <c r="K50" s="192"/>
      <c r="M50" s="184"/>
    </row>
    <row r="51" spans="1:13" x14ac:dyDescent="0.25">
      <c r="A51" s="108"/>
      <c r="B51" s="99" t="str">
        <f>+RPCPPE!D56</f>
        <v>LABORATORY POLISHING MACHINE</v>
      </c>
      <c r="C51" s="100" t="s">
        <v>184</v>
      </c>
      <c r="D51" s="104" t="s">
        <v>186</v>
      </c>
      <c r="E51" s="177">
        <f>+RPCPPE!G56</f>
        <v>44421</v>
      </c>
      <c r="F51" s="100" t="str">
        <f>+RPCPPE!E56</f>
        <v>2021-NFA-OCD-TS-P-025</v>
      </c>
      <c r="G51" s="175">
        <f>+RPCPPE!I56</f>
        <v>471744</v>
      </c>
      <c r="H51" s="185">
        <v>408249</v>
      </c>
      <c r="I51" s="198">
        <v>44926</v>
      </c>
      <c r="J51" s="107"/>
      <c r="K51" s="192"/>
      <c r="M51" s="184"/>
    </row>
    <row r="52" spans="1:13" x14ac:dyDescent="0.25">
      <c r="A52" s="108"/>
      <c r="B52" s="99" t="str">
        <f>+RPCPPE!D57</f>
        <v>LABORATORY HULLER</v>
      </c>
      <c r="C52" s="100" t="s">
        <v>184</v>
      </c>
      <c r="D52" s="104" t="s">
        <v>186</v>
      </c>
      <c r="E52" s="177">
        <f>+RPCPPE!G57</f>
        <v>44524</v>
      </c>
      <c r="F52" s="100" t="str">
        <f>+RPCPPE!E57</f>
        <v>2021-NFA-TRS-TS-D-1221</v>
      </c>
      <c r="G52" s="175">
        <f>+RPCPPE!I57</f>
        <v>285600</v>
      </c>
      <c r="H52" s="185">
        <v>256207</v>
      </c>
      <c r="I52" s="198">
        <v>44926</v>
      </c>
      <c r="J52" s="107"/>
      <c r="K52" s="192"/>
      <c r="M52" s="184"/>
    </row>
    <row r="53" spans="1:13" x14ac:dyDescent="0.25">
      <c r="A53" s="108"/>
      <c r="B53" s="178" t="s">
        <v>672</v>
      </c>
      <c r="C53" s="100"/>
      <c r="D53" s="104"/>
      <c r="E53" s="177"/>
      <c r="F53" s="100"/>
      <c r="G53" s="199">
        <f>SUM(G46:G52)</f>
        <v>1504364</v>
      </c>
      <c r="H53" s="199">
        <f>SUM(H46:H52)</f>
        <v>745896.5</v>
      </c>
      <c r="I53" s="198"/>
      <c r="J53" s="107"/>
      <c r="K53" s="192"/>
      <c r="M53" s="184"/>
    </row>
    <row r="54" spans="1:13" x14ac:dyDescent="0.25">
      <c r="A54" s="108" t="str">
        <f>+RPCPPE!B71</f>
        <v>PLANT MACHINERY &amp; EQUIPMENT</v>
      </c>
      <c r="B54" s="99"/>
      <c r="C54" s="100"/>
      <c r="D54" s="104"/>
      <c r="E54" s="177"/>
      <c r="F54" s="100"/>
      <c r="G54" s="175"/>
      <c r="H54" s="94"/>
      <c r="I54" s="198"/>
      <c r="J54" s="107"/>
      <c r="K54" s="192"/>
      <c r="M54" s="184"/>
    </row>
    <row r="55" spans="1:13" x14ac:dyDescent="0.25">
      <c r="A55" s="108"/>
      <c r="B55" s="183" t="str">
        <f>+RPCPPE!D72</f>
        <v>GENERATOR SET KUBOTA</v>
      </c>
      <c r="C55" s="180" t="s">
        <v>184</v>
      </c>
      <c r="D55" s="181" t="s">
        <v>186</v>
      </c>
      <c r="E55" s="182">
        <v>41298</v>
      </c>
      <c r="F55" s="180" t="str">
        <f>+RPCPPE!E72</f>
        <v>2013-NFA-00B-PE-V-002</v>
      </c>
      <c r="G55" s="175">
        <f>+RPCPPE!I72</f>
        <v>439700</v>
      </c>
      <c r="H55" s="185">
        <v>21985</v>
      </c>
      <c r="I55" s="198">
        <v>44926</v>
      </c>
      <c r="J55" s="107"/>
      <c r="K55" s="192"/>
      <c r="M55" s="184"/>
    </row>
    <row r="56" spans="1:13" x14ac:dyDescent="0.25">
      <c r="A56" s="133"/>
      <c r="B56" s="178" t="s">
        <v>672</v>
      </c>
      <c r="C56" s="214"/>
      <c r="D56" s="104"/>
      <c r="E56" s="214"/>
      <c r="F56" s="214"/>
      <c r="G56" s="199">
        <f>+G55</f>
        <v>439700</v>
      </c>
      <c r="H56" s="199">
        <f>+H55</f>
        <v>21985</v>
      </c>
      <c r="I56" s="94"/>
      <c r="J56" s="107"/>
      <c r="K56" s="192"/>
    </row>
    <row r="57" spans="1:13" x14ac:dyDescent="0.25">
      <c r="A57" s="133"/>
      <c r="B57" s="178" t="s">
        <v>674</v>
      </c>
      <c r="C57" s="214"/>
      <c r="D57" s="104"/>
      <c r="E57" s="214"/>
      <c r="F57" s="214"/>
      <c r="G57" s="164" t="e">
        <f>+G14+G18+G23+G32+G37+G44+G53+G56</f>
        <v>#REF!</v>
      </c>
      <c r="H57" s="164">
        <f>+H14+H18+H23+H32+H37+H44+H53+H56</f>
        <v>4377810.6099999994</v>
      </c>
      <c r="I57" s="94"/>
      <c r="J57" s="107"/>
      <c r="K57" s="192"/>
    </row>
    <row r="58" spans="1:13" ht="15.75" customHeight="1" x14ac:dyDescent="0.25">
      <c r="A58" s="437" t="s">
        <v>657</v>
      </c>
      <c r="B58" s="438"/>
      <c r="C58" s="438"/>
      <c r="D58" s="438"/>
      <c r="E58" s="438"/>
      <c r="F58" s="438"/>
      <c r="G58" s="439"/>
      <c r="H58" s="439"/>
      <c r="I58" s="439"/>
      <c r="J58" s="440"/>
      <c r="K58" s="194"/>
    </row>
    <row r="59" spans="1:13" ht="15" customHeight="1" x14ac:dyDescent="0.25">
      <c r="A59" s="441" t="s">
        <v>658</v>
      </c>
      <c r="B59" s="442"/>
      <c r="C59" s="442"/>
      <c r="D59" s="442"/>
      <c r="E59" s="442"/>
      <c r="F59" s="442"/>
      <c r="G59" s="442"/>
      <c r="H59" s="442"/>
      <c r="I59" s="442"/>
      <c r="J59" s="443"/>
      <c r="K59" s="118"/>
      <c r="L59" s="165"/>
    </row>
    <row r="60" spans="1:13" ht="15.75" customHeight="1" x14ac:dyDescent="0.25">
      <c r="A60" s="441" t="s">
        <v>659</v>
      </c>
      <c r="B60" s="442"/>
      <c r="C60" s="442"/>
      <c r="D60" s="442"/>
      <c r="E60" s="442"/>
      <c r="F60" s="442"/>
      <c r="G60" s="442"/>
      <c r="H60" s="442"/>
      <c r="I60" s="442"/>
      <c r="J60" s="443"/>
      <c r="K60" s="118"/>
    </row>
    <row r="61" spans="1:13" ht="6.75" customHeight="1" x14ac:dyDescent="0.25">
      <c r="A61" s="444"/>
      <c r="B61" s="201"/>
      <c r="C61" s="202"/>
      <c r="D61" s="202"/>
      <c r="E61" s="203"/>
      <c r="F61" s="109"/>
      <c r="G61" s="110"/>
      <c r="H61" s="109"/>
      <c r="I61" s="109"/>
      <c r="J61" s="111"/>
      <c r="K61" s="195"/>
    </row>
    <row r="62" spans="1:13" ht="15" customHeight="1" x14ac:dyDescent="0.25">
      <c r="A62" s="444"/>
      <c r="B62" s="204" t="s">
        <v>660</v>
      </c>
      <c r="C62" s="112" t="s">
        <v>661</v>
      </c>
      <c r="D62" s="113"/>
      <c r="E62" s="205"/>
      <c r="F62" s="113" t="s">
        <v>662</v>
      </c>
      <c r="G62" s="114"/>
      <c r="H62" s="113"/>
      <c r="I62" s="113"/>
      <c r="J62" s="115"/>
      <c r="K62" s="118"/>
    </row>
    <row r="63" spans="1:13" x14ac:dyDescent="0.25">
      <c r="A63" s="444"/>
      <c r="B63" s="206"/>
      <c r="C63" s="116"/>
      <c r="D63" s="116"/>
      <c r="E63" s="205"/>
      <c r="F63" s="116"/>
      <c r="G63" s="117"/>
      <c r="H63" s="116"/>
      <c r="I63" s="116"/>
      <c r="J63" s="115"/>
      <c r="K63" s="118"/>
    </row>
    <row r="64" spans="1:13" ht="15" customHeight="1" x14ac:dyDescent="0.25">
      <c r="A64" s="444"/>
      <c r="B64" s="207" t="s">
        <v>84</v>
      </c>
      <c r="C64" s="446" t="s">
        <v>673</v>
      </c>
      <c r="D64" s="446"/>
      <c r="E64" s="205"/>
      <c r="F64" s="447" t="s">
        <v>663</v>
      </c>
      <c r="G64" s="447"/>
      <c r="H64" s="447"/>
      <c r="I64" s="116"/>
      <c r="J64" s="115"/>
      <c r="K64" s="118"/>
    </row>
    <row r="65" spans="1:12" ht="15" customHeight="1" x14ac:dyDescent="0.25">
      <c r="A65" s="444"/>
      <c r="B65" s="208" t="s">
        <v>664</v>
      </c>
      <c r="C65" s="448" t="s">
        <v>665</v>
      </c>
      <c r="D65" s="448"/>
      <c r="E65" s="115" t="s">
        <v>666</v>
      </c>
      <c r="F65" s="449" t="s">
        <v>133</v>
      </c>
      <c r="G65" s="449"/>
      <c r="H65" s="449"/>
      <c r="I65" s="118" t="s">
        <v>666</v>
      </c>
      <c r="J65" s="166"/>
      <c r="K65" s="165"/>
      <c r="L65" s="165"/>
    </row>
    <row r="66" spans="1:12" ht="15.75" thickBot="1" x14ac:dyDescent="0.3">
      <c r="A66" s="445"/>
      <c r="B66" s="209" t="s">
        <v>667</v>
      </c>
      <c r="C66" s="210" t="s">
        <v>668</v>
      </c>
      <c r="D66" s="211"/>
      <c r="E66" s="212"/>
      <c r="F66" s="450" t="s">
        <v>669</v>
      </c>
      <c r="G66" s="450"/>
      <c r="H66" s="450"/>
      <c r="I66" s="119"/>
      <c r="J66" s="120"/>
      <c r="K66" s="118"/>
    </row>
    <row r="67" spans="1:12" x14ac:dyDescent="0.25">
      <c r="A67" s="167"/>
      <c r="B67" s="168"/>
      <c r="C67" s="168"/>
      <c r="D67" s="168"/>
      <c r="E67" s="169"/>
      <c r="F67" s="168"/>
      <c r="G67" s="154"/>
      <c r="H67" s="168"/>
      <c r="I67" s="168"/>
      <c r="J67" s="166"/>
      <c r="K67" s="165"/>
    </row>
    <row r="68" spans="1:12" s="170" customFormat="1" ht="27.75" customHeight="1" x14ac:dyDescent="0.25">
      <c r="A68" s="434" t="s">
        <v>670</v>
      </c>
      <c r="B68" s="435"/>
      <c r="C68" s="435"/>
      <c r="D68" s="435"/>
      <c r="E68" s="435"/>
      <c r="F68" s="435"/>
      <c r="G68" s="435"/>
      <c r="H68" s="435"/>
      <c r="I68" s="435"/>
      <c r="J68" s="436"/>
      <c r="K68" s="213"/>
    </row>
    <row r="69" spans="1:12" s="170" customFormat="1" x14ac:dyDescent="0.25">
      <c r="A69" s="121" t="s">
        <v>671</v>
      </c>
      <c r="B69" s="171"/>
      <c r="C69" s="171"/>
      <c r="D69" s="171"/>
      <c r="E69" s="172"/>
      <c r="F69" s="171"/>
      <c r="G69" s="173"/>
      <c r="H69" s="171"/>
      <c r="I69" s="171"/>
      <c r="J69" s="174"/>
      <c r="K69" s="196"/>
    </row>
  </sheetData>
  <mergeCells count="24">
    <mergeCell ref="A68:J68"/>
    <mergeCell ref="A58:J58"/>
    <mergeCell ref="A59:J59"/>
    <mergeCell ref="A60:J60"/>
    <mergeCell ref="A61:A66"/>
    <mergeCell ref="C64:D64"/>
    <mergeCell ref="F64:H64"/>
    <mergeCell ref="C65:D65"/>
    <mergeCell ref="F65:H65"/>
    <mergeCell ref="F66:H66"/>
    <mergeCell ref="F8:F9"/>
    <mergeCell ref="G8:H8"/>
    <mergeCell ref="I8:I9"/>
    <mergeCell ref="J8:J9"/>
    <mergeCell ref="A2:J2"/>
    <mergeCell ref="A3:J3"/>
    <mergeCell ref="A4:J4"/>
    <mergeCell ref="A5:J5"/>
    <mergeCell ref="A6:J6"/>
    <mergeCell ref="A8:A9"/>
    <mergeCell ref="B8:B9"/>
    <mergeCell ref="C8:C9"/>
    <mergeCell ref="D8:D9"/>
    <mergeCell ref="E8:E9"/>
  </mergeCells>
  <hyperlinks>
    <hyperlink ref="A68" location="_ftnref1" display="_ftnref1"/>
    <hyperlink ref="A69" location="_ftnref2" display="_ftnref2"/>
    <hyperlink ref="C8" location="_ftn1" display="_ftn1"/>
  </hyperlinks>
  <pageMargins left="0.19685039370078741" right="0.19685039370078741" top="0.31496062992125984" bottom="0.19685039370078741" header="0" footer="0"/>
  <pageSetup paperSize="14" scale="90" orientation="landscape" horizontalDpi="0" verticalDpi="0" r:id="rId1"/>
  <rowBreaks count="1" manualBreakCount="1">
    <brk id="37" max="9"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
  <sheetViews>
    <sheetView showGridLines="0" view="pageBreakPreview" topLeftCell="B1" zoomScale="110" zoomScaleNormal="140" zoomScaleSheetLayoutView="110" workbookViewId="0">
      <pane ySplit="14" topLeftCell="A15" activePane="bottomLeft" state="frozen"/>
      <selection activeCell="D1" sqref="D1"/>
      <selection pane="bottomLeft" activeCell="E27" sqref="E27"/>
    </sheetView>
  </sheetViews>
  <sheetFormatPr defaultRowHeight="14.25" x14ac:dyDescent="0.2"/>
  <cols>
    <col min="1" max="1" width="4.42578125" style="224" hidden="1" customWidth="1"/>
    <col min="2" max="2" width="8.42578125" style="224" customWidth="1"/>
    <col min="3" max="3" width="10.28515625" style="224" hidden="1" customWidth="1"/>
    <col min="4" max="4" width="41.140625" style="224" customWidth="1"/>
    <col min="5" max="5" width="28.42578125" style="232" customWidth="1"/>
    <col min="6" max="6" width="9.28515625" style="227" hidden="1" customWidth="1"/>
    <col min="7" max="7" width="12.140625" style="227" hidden="1" customWidth="1"/>
    <col min="8" max="8" width="9" style="226" customWidth="1"/>
    <col min="9" max="9" width="16.7109375" style="233" customWidth="1"/>
    <col min="10" max="10" width="11.42578125" style="233" customWidth="1"/>
    <col min="11" max="11" width="29.85546875" style="227" hidden="1" customWidth="1"/>
    <col min="12" max="12" width="17.5703125" style="230" hidden="1" customWidth="1"/>
    <col min="13" max="13" width="12.5703125" style="227" hidden="1" customWidth="1"/>
    <col min="14" max="14" width="11.42578125" style="233" customWidth="1"/>
    <col min="15" max="15" width="10.7109375" style="227" customWidth="1"/>
    <col min="16" max="16" width="11" style="227" customWidth="1"/>
    <col min="17" max="17" width="12.85546875" style="227" customWidth="1"/>
    <col min="18" max="18" width="0.28515625" style="224" hidden="1" customWidth="1"/>
    <col min="19" max="19" width="17.7109375" style="232" customWidth="1"/>
    <col min="20" max="16384" width="9.140625" style="224"/>
  </cols>
  <sheetData>
    <row r="1" spans="2:19" x14ac:dyDescent="0.2">
      <c r="D1" s="230"/>
      <c r="E1" s="231"/>
      <c r="I1" s="230"/>
      <c r="J1" s="230"/>
      <c r="N1" s="230"/>
      <c r="Q1" s="451" t="s">
        <v>119</v>
      </c>
      <c r="R1" s="451"/>
    </row>
    <row r="2" spans="2:19" x14ac:dyDescent="0.2">
      <c r="B2" s="452" t="s">
        <v>96</v>
      </c>
      <c r="C2" s="452"/>
      <c r="D2" s="452"/>
      <c r="E2" s="452"/>
      <c r="F2" s="452"/>
      <c r="G2" s="452"/>
      <c r="H2" s="452"/>
      <c r="I2" s="452"/>
      <c r="J2" s="452"/>
      <c r="K2" s="452"/>
      <c r="L2" s="452"/>
      <c r="M2" s="452"/>
      <c r="N2" s="452"/>
      <c r="O2" s="452"/>
      <c r="P2" s="452"/>
      <c r="Q2" s="452"/>
    </row>
    <row r="3" spans="2:19" x14ac:dyDescent="0.2">
      <c r="B3" s="452" t="s">
        <v>121</v>
      </c>
      <c r="C3" s="452"/>
      <c r="D3" s="452"/>
      <c r="E3" s="452"/>
      <c r="F3" s="452"/>
      <c r="G3" s="452"/>
      <c r="H3" s="452"/>
      <c r="I3" s="452"/>
      <c r="J3" s="452"/>
      <c r="K3" s="452"/>
      <c r="L3" s="452"/>
      <c r="M3" s="452"/>
      <c r="N3" s="452"/>
      <c r="O3" s="452"/>
      <c r="P3" s="452"/>
      <c r="Q3" s="452"/>
    </row>
    <row r="4" spans="2:19" x14ac:dyDescent="0.2">
      <c r="B4" s="452" t="s">
        <v>137</v>
      </c>
      <c r="C4" s="452"/>
      <c r="D4" s="452"/>
      <c r="E4" s="452"/>
      <c r="F4" s="452"/>
      <c r="G4" s="452"/>
      <c r="H4" s="452"/>
      <c r="I4" s="452"/>
      <c r="J4" s="452"/>
      <c r="K4" s="452"/>
      <c r="L4" s="452"/>
      <c r="M4" s="452"/>
      <c r="N4" s="452"/>
      <c r="O4" s="452"/>
      <c r="P4" s="452"/>
      <c r="Q4" s="452"/>
    </row>
    <row r="5" spans="2:19" x14ac:dyDescent="0.2">
      <c r="L5" s="234"/>
      <c r="O5" s="235"/>
      <c r="P5" s="236"/>
    </row>
    <row r="6" spans="2:19" x14ac:dyDescent="0.2">
      <c r="B6" s="452" t="s">
        <v>120</v>
      </c>
      <c r="C6" s="452"/>
      <c r="D6" s="452"/>
      <c r="E6" s="452"/>
      <c r="F6" s="452"/>
      <c r="G6" s="452"/>
      <c r="H6" s="452"/>
      <c r="I6" s="452"/>
      <c r="J6" s="452"/>
      <c r="K6" s="452"/>
      <c r="L6" s="452"/>
      <c r="M6" s="452"/>
      <c r="N6" s="452"/>
      <c r="O6" s="452"/>
      <c r="P6" s="452"/>
      <c r="Q6" s="452"/>
    </row>
    <row r="7" spans="2:19" ht="15" x14ac:dyDescent="0.2">
      <c r="B7" s="459" t="s">
        <v>111</v>
      </c>
      <c r="C7" s="459"/>
      <c r="D7" s="459"/>
      <c r="E7" s="459"/>
      <c r="F7" s="459"/>
      <c r="G7" s="459"/>
      <c r="H7" s="459"/>
      <c r="I7" s="459"/>
      <c r="J7" s="459"/>
      <c r="K7" s="459"/>
      <c r="L7" s="459"/>
      <c r="M7" s="459"/>
      <c r="N7" s="459"/>
      <c r="O7" s="459"/>
      <c r="P7" s="459"/>
      <c r="Q7" s="459"/>
    </row>
    <row r="8" spans="2:19" x14ac:dyDescent="0.2">
      <c r="B8" s="320"/>
      <c r="C8" s="320"/>
      <c r="D8" s="320"/>
      <c r="E8" s="320"/>
      <c r="F8" s="320"/>
      <c r="G8" s="320"/>
      <c r="H8" s="320"/>
      <c r="I8" s="320"/>
      <c r="J8" s="320"/>
      <c r="K8" s="320"/>
      <c r="L8" s="320"/>
      <c r="M8" s="320"/>
      <c r="N8" s="320"/>
      <c r="O8" s="320"/>
      <c r="P8" s="320"/>
      <c r="Q8" s="320"/>
    </row>
    <row r="9" spans="2:19" x14ac:dyDescent="0.2">
      <c r="B9" s="224" t="s">
        <v>682</v>
      </c>
    </row>
    <row r="11" spans="2:19" x14ac:dyDescent="0.2">
      <c r="B11" s="224" t="s">
        <v>683</v>
      </c>
    </row>
    <row r="12" spans="2:19" ht="4.5" customHeight="1" x14ac:dyDescent="0.2"/>
    <row r="13" spans="2:19" s="237" customFormat="1" ht="37.5" customHeight="1" x14ac:dyDescent="0.25">
      <c r="B13" s="460" t="s">
        <v>110</v>
      </c>
      <c r="C13" s="238" t="s">
        <v>1</v>
      </c>
      <c r="D13" s="457" t="s">
        <v>97</v>
      </c>
      <c r="E13" s="462" t="s">
        <v>116</v>
      </c>
      <c r="F13" s="457" t="s">
        <v>155</v>
      </c>
      <c r="G13" s="457" t="s">
        <v>156</v>
      </c>
      <c r="H13" s="457" t="s">
        <v>136</v>
      </c>
      <c r="I13" s="453" t="s">
        <v>98</v>
      </c>
      <c r="J13" s="453" t="s">
        <v>132</v>
      </c>
      <c r="K13" s="457" t="s">
        <v>3</v>
      </c>
      <c r="L13" s="457" t="s">
        <v>2</v>
      </c>
      <c r="M13" s="457" t="s">
        <v>101</v>
      </c>
      <c r="N13" s="453" t="s">
        <v>100</v>
      </c>
      <c r="O13" s="455" t="s">
        <v>131</v>
      </c>
      <c r="P13" s="456"/>
      <c r="Q13" s="457" t="s">
        <v>99</v>
      </c>
      <c r="R13" s="238" t="s">
        <v>4</v>
      </c>
      <c r="S13" s="239"/>
    </row>
    <row r="14" spans="2:19" s="237" customFormat="1" ht="16.5" customHeight="1" x14ac:dyDescent="0.25">
      <c r="B14" s="461"/>
      <c r="C14" s="240"/>
      <c r="D14" s="458"/>
      <c r="E14" s="463"/>
      <c r="F14" s="458"/>
      <c r="G14" s="458"/>
      <c r="H14" s="458"/>
      <c r="I14" s="454"/>
      <c r="J14" s="454"/>
      <c r="K14" s="458"/>
      <c r="L14" s="458"/>
      <c r="M14" s="458"/>
      <c r="N14" s="454"/>
      <c r="O14" s="238" t="s">
        <v>130</v>
      </c>
      <c r="P14" s="238" t="s">
        <v>117</v>
      </c>
      <c r="Q14" s="458"/>
      <c r="R14" s="238"/>
      <c r="S14" s="239"/>
    </row>
    <row r="15" spans="2:19" ht="15" x14ac:dyDescent="0.2">
      <c r="B15" s="241" t="s">
        <v>111</v>
      </c>
      <c r="D15" s="242"/>
      <c r="E15" s="243"/>
      <c r="F15" s="244"/>
      <c r="G15" s="244"/>
      <c r="H15" s="242"/>
      <c r="I15" s="245"/>
      <c r="J15" s="245"/>
      <c r="K15" s="244"/>
      <c r="L15" s="246"/>
      <c r="M15" s="244"/>
      <c r="N15" s="245"/>
      <c r="O15" s="244"/>
      <c r="P15" s="244"/>
      <c r="Q15" s="244"/>
      <c r="R15" s="242"/>
    </row>
    <row r="16" spans="2:19" x14ac:dyDescent="0.2">
      <c r="B16" s="311"/>
      <c r="C16" s="247">
        <v>43462</v>
      </c>
      <c r="D16" s="244" t="s">
        <v>104</v>
      </c>
      <c r="E16" s="248" t="s">
        <v>5</v>
      </c>
      <c r="F16" s="228"/>
      <c r="G16" s="249">
        <v>43462</v>
      </c>
      <c r="H16" s="250"/>
      <c r="I16" s="229">
        <v>1782828.5</v>
      </c>
      <c r="J16" s="251">
        <v>1</v>
      </c>
      <c r="K16" s="228" t="s">
        <v>7</v>
      </c>
      <c r="L16" s="252" t="s">
        <v>103</v>
      </c>
      <c r="M16" s="228" t="s">
        <v>105</v>
      </c>
      <c r="N16" s="251">
        <v>1</v>
      </c>
      <c r="O16" s="253">
        <v>0</v>
      </c>
      <c r="P16" s="253">
        <v>0</v>
      </c>
      <c r="Q16" s="254"/>
      <c r="R16" s="255" t="s">
        <v>40</v>
      </c>
    </row>
    <row r="17" spans="2:18" s="224" customFormat="1" x14ac:dyDescent="0.2">
      <c r="B17" s="311"/>
      <c r="C17" s="247">
        <v>28858</v>
      </c>
      <c r="D17" s="244" t="s">
        <v>104</v>
      </c>
      <c r="E17" s="248" t="s">
        <v>86</v>
      </c>
      <c r="F17" s="228"/>
      <c r="G17" s="249">
        <v>28915</v>
      </c>
      <c r="H17" s="250"/>
      <c r="I17" s="229">
        <v>1476980.09</v>
      </c>
      <c r="J17" s="251">
        <v>1</v>
      </c>
      <c r="K17" s="228" t="s">
        <v>7</v>
      </c>
      <c r="L17" s="252" t="s">
        <v>103</v>
      </c>
      <c r="M17" s="228" t="s">
        <v>105</v>
      </c>
      <c r="N17" s="251">
        <v>1</v>
      </c>
      <c r="O17" s="253">
        <v>0</v>
      </c>
      <c r="P17" s="253">
        <v>0</v>
      </c>
      <c r="Q17" s="254"/>
      <c r="R17" s="256"/>
    </row>
    <row r="18" spans="2:18" s="224" customFormat="1" x14ac:dyDescent="0.2">
      <c r="B18" s="311"/>
      <c r="C18" s="247"/>
      <c r="D18" s="244"/>
      <c r="E18" s="248"/>
      <c r="F18" s="228"/>
      <c r="G18" s="249"/>
      <c r="H18" s="250"/>
      <c r="I18" s="229"/>
      <c r="J18" s="251"/>
      <c r="K18" s="228"/>
      <c r="L18" s="252"/>
      <c r="M18" s="228"/>
      <c r="N18" s="251"/>
      <c r="O18" s="253"/>
      <c r="P18" s="253"/>
      <c r="Q18" s="254"/>
      <c r="R18" s="256"/>
    </row>
    <row r="19" spans="2:18" s="224" customFormat="1" x14ac:dyDescent="0.2">
      <c r="B19" s="311"/>
      <c r="C19" s="247"/>
      <c r="D19" s="244"/>
      <c r="E19" s="248"/>
      <c r="F19" s="228"/>
      <c r="G19" s="249"/>
      <c r="H19" s="250"/>
      <c r="I19" s="229"/>
      <c r="J19" s="251"/>
      <c r="K19" s="228"/>
      <c r="L19" s="252"/>
      <c r="M19" s="228"/>
      <c r="N19" s="251"/>
      <c r="O19" s="253"/>
      <c r="P19" s="253"/>
      <c r="Q19" s="254"/>
      <c r="R19" s="256"/>
    </row>
    <row r="20" spans="2:18" s="224" customFormat="1" x14ac:dyDescent="0.2">
      <c r="B20" s="311"/>
      <c r="C20" s="247"/>
      <c r="D20" s="244"/>
      <c r="E20" s="248"/>
      <c r="F20" s="228"/>
      <c r="G20" s="249"/>
      <c r="H20" s="250"/>
      <c r="I20" s="229"/>
      <c r="J20" s="251"/>
      <c r="K20" s="228"/>
      <c r="L20" s="252"/>
      <c r="M20" s="228"/>
      <c r="N20" s="251"/>
      <c r="O20" s="253"/>
      <c r="P20" s="253"/>
      <c r="Q20" s="254"/>
      <c r="R20" s="256"/>
    </row>
    <row r="21" spans="2:18" s="224" customFormat="1" x14ac:dyDescent="0.2">
      <c r="B21" s="311"/>
      <c r="C21" s="247"/>
      <c r="D21" s="244"/>
      <c r="E21" s="248"/>
      <c r="F21" s="228"/>
      <c r="G21" s="249"/>
      <c r="H21" s="250"/>
      <c r="I21" s="229"/>
      <c r="J21" s="251"/>
      <c r="K21" s="228"/>
      <c r="L21" s="252"/>
      <c r="M21" s="228"/>
      <c r="N21" s="251"/>
      <c r="O21" s="253"/>
      <c r="P21" s="253"/>
      <c r="Q21" s="254"/>
      <c r="R21" s="256"/>
    </row>
    <row r="22" spans="2:18" s="224" customFormat="1" x14ac:dyDescent="0.2">
      <c r="B22" s="311"/>
      <c r="C22" s="247"/>
      <c r="D22" s="244"/>
      <c r="E22" s="248"/>
      <c r="F22" s="228"/>
      <c r="G22" s="249"/>
      <c r="H22" s="250"/>
      <c r="I22" s="229"/>
      <c r="J22" s="251"/>
      <c r="K22" s="228"/>
      <c r="L22" s="252"/>
      <c r="M22" s="228"/>
      <c r="N22" s="251"/>
      <c r="O22" s="253"/>
      <c r="P22" s="253"/>
      <c r="Q22" s="254"/>
      <c r="R22" s="256"/>
    </row>
    <row r="23" spans="2:18" s="224" customFormat="1" x14ac:dyDescent="0.2">
      <c r="B23" s="311"/>
      <c r="C23" s="247"/>
      <c r="D23" s="244"/>
      <c r="E23" s="248"/>
      <c r="F23" s="228"/>
      <c r="G23" s="249"/>
      <c r="H23" s="250"/>
      <c r="I23" s="229"/>
      <c r="J23" s="251"/>
      <c r="K23" s="228"/>
      <c r="L23" s="252"/>
      <c r="M23" s="228"/>
      <c r="N23" s="251"/>
      <c r="O23" s="253"/>
      <c r="P23" s="253"/>
      <c r="Q23" s="254"/>
      <c r="R23" s="256"/>
    </row>
    <row r="24" spans="2:18" s="224" customFormat="1" x14ac:dyDescent="0.2">
      <c r="B24" s="311"/>
      <c r="C24" s="247"/>
      <c r="D24" s="244"/>
      <c r="E24" s="248"/>
      <c r="F24" s="228"/>
      <c r="G24" s="249"/>
      <c r="H24" s="250"/>
      <c r="I24" s="229"/>
      <c r="J24" s="251"/>
      <c r="K24" s="228"/>
      <c r="L24" s="252"/>
      <c r="M24" s="228"/>
      <c r="N24" s="251"/>
      <c r="O24" s="253"/>
      <c r="P24" s="253"/>
      <c r="Q24" s="254"/>
      <c r="R24" s="256"/>
    </row>
    <row r="25" spans="2:18" s="224" customFormat="1" x14ac:dyDescent="0.2">
      <c r="B25" s="311"/>
      <c r="C25" s="247"/>
      <c r="D25" s="244"/>
      <c r="E25" s="248"/>
      <c r="F25" s="228"/>
      <c r="G25" s="249"/>
      <c r="H25" s="250"/>
      <c r="I25" s="229"/>
      <c r="J25" s="251"/>
      <c r="K25" s="228"/>
      <c r="L25" s="252"/>
      <c r="M25" s="228"/>
      <c r="N25" s="251"/>
      <c r="O25" s="253"/>
      <c r="P25" s="253"/>
      <c r="Q25" s="254"/>
      <c r="R25" s="256"/>
    </row>
    <row r="26" spans="2:18" s="224" customFormat="1" ht="15" x14ac:dyDescent="0.2">
      <c r="B26" s="257"/>
      <c r="C26" s="247"/>
      <c r="D26" s="244"/>
      <c r="E26" s="248"/>
      <c r="F26" s="258" t="s">
        <v>82</v>
      </c>
      <c r="G26" s="258"/>
      <c r="H26" s="259"/>
      <c r="I26" s="260">
        <f>SUM(I16:I17)</f>
        <v>3259808.59</v>
      </c>
      <c r="J26" s="260"/>
      <c r="K26" s="228"/>
      <c r="L26" s="252"/>
      <c r="M26" s="228"/>
      <c r="N26" s="260"/>
      <c r="O26" s="228"/>
      <c r="P26" s="228"/>
      <c r="Q26" s="228"/>
      <c r="R26" s="256"/>
    </row>
    <row r="28" spans="2:18" s="224" customFormat="1" x14ac:dyDescent="0.2">
      <c r="D28" s="227" t="s">
        <v>677</v>
      </c>
      <c r="E28" s="232"/>
      <c r="F28" s="227"/>
      <c r="H28" s="227" t="s">
        <v>679</v>
      </c>
      <c r="I28" s="233"/>
      <c r="J28" s="233"/>
      <c r="K28" s="227"/>
      <c r="L28" s="227"/>
      <c r="M28" s="224" t="s">
        <v>680</v>
      </c>
      <c r="O28" s="233" t="s">
        <v>680</v>
      </c>
      <c r="P28" s="227"/>
      <c r="Q28" s="227"/>
    </row>
    <row r="29" spans="2:18" s="224" customFormat="1" x14ac:dyDescent="0.2">
      <c r="D29" s="227"/>
      <c r="E29" s="232"/>
      <c r="F29" s="227"/>
      <c r="H29" s="227"/>
      <c r="I29" s="233"/>
      <c r="J29" s="233"/>
      <c r="K29" s="227"/>
      <c r="L29" s="227"/>
      <c r="M29" s="227"/>
      <c r="O29" s="233"/>
      <c r="P29" s="227"/>
      <c r="Q29" s="227"/>
    </row>
    <row r="30" spans="2:18" s="224" customFormat="1" x14ac:dyDescent="0.2">
      <c r="D30" s="227"/>
      <c r="E30" s="232"/>
      <c r="F30" s="227"/>
      <c r="H30" s="227"/>
      <c r="I30" s="233"/>
      <c r="J30" s="233"/>
      <c r="K30" s="227"/>
      <c r="L30" s="227"/>
      <c r="M30" s="227"/>
      <c r="O30" s="233"/>
      <c r="P30" s="227"/>
      <c r="Q30" s="227"/>
    </row>
    <row r="31" spans="2:18" s="224" customFormat="1" ht="15" x14ac:dyDescent="0.25">
      <c r="D31" s="307" t="s">
        <v>673</v>
      </c>
      <c r="E31" s="232"/>
      <c r="F31" s="227"/>
      <c r="H31" s="307" t="s">
        <v>85</v>
      </c>
      <c r="I31" s="233"/>
      <c r="J31" s="233"/>
      <c r="K31" s="227"/>
      <c r="L31" s="307"/>
      <c r="M31" s="223"/>
      <c r="O31" s="308"/>
      <c r="P31" s="309"/>
      <c r="Q31" s="227"/>
    </row>
    <row r="32" spans="2:18" s="224" customFormat="1" x14ac:dyDescent="0.2">
      <c r="D32" s="227" t="s">
        <v>678</v>
      </c>
      <c r="E32" s="232"/>
      <c r="F32" s="227"/>
      <c r="H32" s="227" t="s">
        <v>133</v>
      </c>
      <c r="I32" s="233"/>
      <c r="J32" s="233"/>
      <c r="K32" s="227"/>
      <c r="L32" s="227"/>
      <c r="M32" s="224" t="s">
        <v>681</v>
      </c>
      <c r="O32" s="233" t="s">
        <v>681</v>
      </c>
      <c r="P32" s="227"/>
      <c r="Q32" s="227"/>
    </row>
    <row r="38" spans="3:19" s="233" customFormat="1" x14ac:dyDescent="0.2">
      <c r="C38" s="224"/>
      <c r="D38" s="224"/>
      <c r="E38" s="232"/>
      <c r="F38" s="227"/>
      <c r="G38" s="227"/>
      <c r="H38" s="226"/>
      <c r="K38" s="227"/>
      <c r="L38" s="230"/>
      <c r="M38" s="227"/>
      <c r="O38" s="227"/>
      <c r="P38" s="227"/>
      <c r="Q38" s="227"/>
      <c r="R38" s="224"/>
      <c r="S38" s="310"/>
    </row>
    <row r="39" spans="3:19" s="233" customFormat="1" x14ac:dyDescent="0.2">
      <c r="C39" s="224"/>
      <c r="D39" s="224"/>
      <c r="E39" s="232"/>
      <c r="F39" s="227"/>
      <c r="G39" s="227"/>
      <c r="H39" s="226"/>
      <c r="K39" s="227"/>
      <c r="L39" s="230"/>
      <c r="M39" s="227"/>
      <c r="O39" s="227"/>
      <c r="P39" s="227"/>
      <c r="Q39" s="227"/>
      <c r="R39" s="224"/>
      <c r="S39" s="310"/>
    </row>
  </sheetData>
  <autoFilter ref="K1:K39"/>
  <mergeCells count="20">
    <mergeCell ref="N13:N14"/>
    <mergeCell ref="O13:P13"/>
    <mergeCell ref="Q13:Q14"/>
    <mergeCell ref="B7:Q7"/>
    <mergeCell ref="H13:H14"/>
    <mergeCell ref="I13:I14"/>
    <mergeCell ref="J13:J14"/>
    <mergeCell ref="K13:K14"/>
    <mergeCell ref="L13:L14"/>
    <mergeCell ref="M13:M14"/>
    <mergeCell ref="B13:B14"/>
    <mergeCell ref="D13:D14"/>
    <mergeCell ref="E13:E14"/>
    <mergeCell ref="F13:F14"/>
    <mergeCell ref="G13:G14"/>
    <mergeCell ref="Q1:R1"/>
    <mergeCell ref="B2:Q2"/>
    <mergeCell ref="B3:Q3"/>
    <mergeCell ref="B4:Q4"/>
    <mergeCell ref="B6:Q6"/>
  </mergeCells>
  <conditionalFormatting sqref="M15:M26">
    <cfRule type="cellIs" dxfId="52" priority="6" operator="equal">
      <formula>#REF!</formula>
    </cfRule>
  </conditionalFormatting>
  <hyperlinks>
    <hyperlink ref="R16" r:id="rId1"/>
  </hyperlinks>
  <printOptions horizontalCentered="1"/>
  <pageMargins left="0.11811023622047245" right="0.11811023622047245" top="0.39370078740157483" bottom="0.39370078740157483" header="0" footer="0"/>
  <pageSetup paperSize="14" scale="85" fitToWidth="0" fitToHeight="0" orientation="landscape" horizontalDpi="0" verticalDpi="0" r:id="rId2"/>
  <headerFooter>
    <oddFooter>&amp;C&amp;P OF &amp;N</oddFooter>
  </headerFooter>
  <colBreaks count="1" manualBreakCount="1">
    <brk id="17" max="57"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4"/>
  <sheetViews>
    <sheetView showGridLines="0" view="pageBreakPreview" topLeftCell="B1" zoomScale="110" zoomScaleNormal="140" zoomScaleSheetLayoutView="110" workbookViewId="0">
      <pane ySplit="13" topLeftCell="A14" activePane="bottomLeft" state="frozen"/>
      <selection activeCell="D1" sqref="D1"/>
      <selection pane="bottomLeft" activeCell="O23" sqref="O23:O27"/>
    </sheetView>
  </sheetViews>
  <sheetFormatPr defaultRowHeight="14.25" x14ac:dyDescent="0.2"/>
  <cols>
    <col min="1" max="1" width="4.42578125" style="224" hidden="1" customWidth="1"/>
    <col min="2" max="2" width="8.42578125" style="224" customWidth="1"/>
    <col min="3" max="3" width="10.28515625" style="224" hidden="1" customWidth="1"/>
    <col min="4" max="4" width="41.140625" style="224" customWidth="1"/>
    <col min="5" max="5" width="28.42578125" style="232" customWidth="1"/>
    <col min="6" max="6" width="9.28515625" style="227" hidden="1" customWidth="1"/>
    <col min="7" max="7" width="12.140625" style="227" hidden="1" customWidth="1"/>
    <col min="8" max="8" width="9" style="226" customWidth="1"/>
    <col min="9" max="9" width="16.7109375" style="233" customWidth="1"/>
    <col min="10" max="10" width="11.42578125" style="233" customWidth="1"/>
    <col min="11" max="11" width="29.85546875" style="227" hidden="1" customWidth="1"/>
    <col min="12" max="12" width="17.5703125" style="230" hidden="1" customWidth="1"/>
    <col min="13" max="13" width="12.5703125" style="227" hidden="1" customWidth="1"/>
    <col min="14" max="14" width="11.42578125" style="233" customWidth="1"/>
    <col min="15" max="15" width="10.7109375" style="227" customWidth="1"/>
    <col min="16" max="16" width="11" style="227" customWidth="1"/>
    <col min="17" max="17" width="12.85546875" style="227" customWidth="1"/>
    <col min="18" max="18" width="0.28515625" style="224" hidden="1" customWidth="1"/>
    <col min="19" max="19" width="17.7109375" style="232" customWidth="1"/>
    <col min="20" max="16384" width="9.140625" style="224"/>
  </cols>
  <sheetData>
    <row r="1" spans="2:19" x14ac:dyDescent="0.2">
      <c r="D1" s="230"/>
      <c r="E1" s="231"/>
      <c r="I1" s="230"/>
      <c r="J1" s="230"/>
      <c r="N1" s="230"/>
      <c r="Q1" s="451" t="s">
        <v>119</v>
      </c>
      <c r="R1" s="451"/>
    </row>
    <row r="2" spans="2:19" x14ac:dyDescent="0.2">
      <c r="B2" s="452" t="s">
        <v>96</v>
      </c>
      <c r="C2" s="452"/>
      <c r="D2" s="452"/>
      <c r="E2" s="452"/>
      <c r="F2" s="452"/>
      <c r="G2" s="452"/>
      <c r="H2" s="452"/>
      <c r="I2" s="452"/>
      <c r="J2" s="452"/>
      <c r="K2" s="452"/>
      <c r="L2" s="452"/>
      <c r="M2" s="452"/>
      <c r="N2" s="452"/>
      <c r="O2" s="452"/>
      <c r="P2" s="452"/>
      <c r="Q2" s="452"/>
    </row>
    <row r="3" spans="2:19" x14ac:dyDescent="0.2">
      <c r="B3" s="452" t="s">
        <v>121</v>
      </c>
      <c r="C3" s="452"/>
      <c r="D3" s="452"/>
      <c r="E3" s="452"/>
      <c r="F3" s="452"/>
      <c r="G3" s="452"/>
      <c r="H3" s="452"/>
      <c r="I3" s="452"/>
      <c r="J3" s="452"/>
      <c r="K3" s="452"/>
      <c r="L3" s="452"/>
      <c r="M3" s="452"/>
      <c r="N3" s="452"/>
      <c r="O3" s="452"/>
      <c r="P3" s="452"/>
      <c r="Q3" s="452"/>
    </row>
    <row r="4" spans="2:19" x14ac:dyDescent="0.2">
      <c r="B4" s="452" t="s">
        <v>137</v>
      </c>
      <c r="C4" s="452"/>
      <c r="D4" s="452"/>
      <c r="E4" s="452"/>
      <c r="F4" s="452"/>
      <c r="G4" s="452"/>
      <c r="H4" s="452"/>
      <c r="I4" s="452"/>
      <c r="J4" s="452"/>
      <c r="K4" s="452"/>
      <c r="L4" s="452"/>
      <c r="M4" s="452"/>
      <c r="N4" s="452"/>
      <c r="O4" s="452"/>
      <c r="P4" s="452"/>
      <c r="Q4" s="452"/>
    </row>
    <row r="5" spans="2:19" x14ac:dyDescent="0.2">
      <c r="L5" s="234"/>
      <c r="O5" s="235"/>
      <c r="P5" s="236"/>
    </row>
    <row r="6" spans="2:19" x14ac:dyDescent="0.2">
      <c r="B6" s="452" t="s">
        <v>120</v>
      </c>
      <c r="C6" s="452"/>
      <c r="D6" s="452"/>
      <c r="E6" s="452"/>
      <c r="F6" s="452"/>
      <c r="G6" s="452"/>
      <c r="H6" s="452"/>
      <c r="I6" s="452"/>
      <c r="J6" s="452"/>
      <c r="K6" s="452"/>
      <c r="L6" s="452"/>
      <c r="M6" s="452"/>
      <c r="N6" s="452"/>
      <c r="O6" s="452"/>
      <c r="P6" s="452"/>
      <c r="Q6" s="452"/>
    </row>
    <row r="7" spans="2:19" ht="15" x14ac:dyDescent="0.2">
      <c r="B7" s="459" t="s">
        <v>149</v>
      </c>
      <c r="C7" s="459"/>
      <c r="D7" s="459"/>
      <c r="E7" s="459"/>
      <c r="F7" s="459"/>
      <c r="G7" s="459"/>
      <c r="H7" s="459"/>
      <c r="I7" s="459"/>
      <c r="J7" s="459"/>
      <c r="K7" s="459"/>
      <c r="L7" s="459"/>
      <c r="M7" s="459"/>
      <c r="N7" s="459"/>
      <c r="O7" s="459"/>
      <c r="P7" s="459"/>
      <c r="Q7" s="459"/>
    </row>
    <row r="8" spans="2:19" x14ac:dyDescent="0.2">
      <c r="B8" s="320"/>
      <c r="C8" s="320"/>
      <c r="D8" s="320"/>
      <c r="E8" s="320"/>
      <c r="F8" s="320"/>
      <c r="G8" s="320"/>
      <c r="H8" s="320"/>
      <c r="I8" s="320"/>
      <c r="J8" s="320"/>
      <c r="K8" s="320"/>
      <c r="L8" s="320"/>
      <c r="M8" s="320"/>
      <c r="N8" s="320"/>
      <c r="O8" s="320"/>
      <c r="P8" s="320"/>
      <c r="Q8" s="320"/>
    </row>
    <row r="9" spans="2:19" x14ac:dyDescent="0.2">
      <c r="B9" s="224" t="s">
        <v>682</v>
      </c>
    </row>
    <row r="10" spans="2:19" x14ac:dyDescent="0.2">
      <c r="B10" s="224" t="s">
        <v>683</v>
      </c>
    </row>
    <row r="11" spans="2:19" ht="4.5" customHeight="1" x14ac:dyDescent="0.2"/>
    <row r="12" spans="2:19" s="237" customFormat="1" ht="37.5" customHeight="1" x14ac:dyDescent="0.25">
      <c r="B12" s="460" t="s">
        <v>110</v>
      </c>
      <c r="C12" s="238" t="s">
        <v>1</v>
      </c>
      <c r="D12" s="457" t="s">
        <v>97</v>
      </c>
      <c r="E12" s="462" t="s">
        <v>116</v>
      </c>
      <c r="F12" s="457" t="s">
        <v>155</v>
      </c>
      <c r="G12" s="457" t="s">
        <v>156</v>
      </c>
      <c r="H12" s="457" t="s">
        <v>136</v>
      </c>
      <c r="I12" s="453" t="s">
        <v>98</v>
      </c>
      <c r="J12" s="453" t="s">
        <v>132</v>
      </c>
      <c r="K12" s="457" t="s">
        <v>3</v>
      </c>
      <c r="L12" s="457" t="s">
        <v>2</v>
      </c>
      <c r="M12" s="457" t="s">
        <v>101</v>
      </c>
      <c r="N12" s="453" t="s">
        <v>100</v>
      </c>
      <c r="O12" s="455" t="s">
        <v>131</v>
      </c>
      <c r="P12" s="456"/>
      <c r="Q12" s="457" t="s">
        <v>99</v>
      </c>
      <c r="R12" s="238" t="s">
        <v>4</v>
      </c>
      <c r="S12" s="239"/>
    </row>
    <row r="13" spans="2:19" s="237" customFormat="1" ht="16.5" customHeight="1" x14ac:dyDescent="0.25">
      <c r="B13" s="461"/>
      <c r="C13" s="240"/>
      <c r="D13" s="458"/>
      <c r="E13" s="463"/>
      <c r="F13" s="458"/>
      <c r="G13" s="458"/>
      <c r="H13" s="458"/>
      <c r="I13" s="454"/>
      <c r="J13" s="454"/>
      <c r="K13" s="458"/>
      <c r="L13" s="458"/>
      <c r="M13" s="458"/>
      <c r="N13" s="454"/>
      <c r="O13" s="238" t="s">
        <v>130</v>
      </c>
      <c r="P13" s="238" t="s">
        <v>117</v>
      </c>
      <c r="Q13" s="458"/>
      <c r="R13" s="238"/>
      <c r="S13" s="239"/>
    </row>
    <row r="14" spans="2:19" s="237" customFormat="1" ht="71.25" x14ac:dyDescent="0.25">
      <c r="B14" s="319"/>
      <c r="C14" s="262"/>
      <c r="D14" s="294" t="s">
        <v>154</v>
      </c>
      <c r="E14" s="254" t="s">
        <v>158</v>
      </c>
      <c r="F14" s="313"/>
      <c r="G14" s="314">
        <v>44564</v>
      </c>
      <c r="H14" s="315" t="s">
        <v>128</v>
      </c>
      <c r="I14" s="316">
        <v>305103.38</v>
      </c>
      <c r="J14" s="317">
        <v>1</v>
      </c>
      <c r="K14" s="254" t="s">
        <v>7</v>
      </c>
      <c r="L14" s="297" t="s">
        <v>6</v>
      </c>
      <c r="M14" s="254" t="s">
        <v>105</v>
      </c>
      <c r="N14" s="317">
        <v>1</v>
      </c>
      <c r="O14" s="318">
        <v>0</v>
      </c>
      <c r="P14" s="318">
        <v>0</v>
      </c>
      <c r="Q14" s="254"/>
      <c r="R14" s="266"/>
      <c r="S14" s="239"/>
    </row>
    <row r="15" spans="2:19" s="237" customFormat="1" ht="15" x14ac:dyDescent="0.25">
      <c r="B15" s="241"/>
      <c r="C15" s="287"/>
      <c r="D15" s="244"/>
      <c r="E15" s="228"/>
      <c r="F15" s="258"/>
      <c r="G15" s="249"/>
      <c r="H15" s="250"/>
      <c r="I15" s="271"/>
      <c r="J15" s="251"/>
      <c r="K15" s="228"/>
      <c r="L15" s="252"/>
      <c r="M15" s="228"/>
      <c r="N15" s="251"/>
      <c r="O15" s="253"/>
      <c r="P15" s="253"/>
      <c r="Q15" s="228"/>
      <c r="R15" s="312"/>
      <c r="S15" s="239"/>
    </row>
    <row r="16" spans="2:19" s="237" customFormat="1" ht="15" x14ac:dyDescent="0.25">
      <c r="B16" s="241"/>
      <c r="C16" s="287"/>
      <c r="D16" s="244"/>
      <c r="E16" s="228"/>
      <c r="F16" s="258"/>
      <c r="G16" s="249"/>
      <c r="H16" s="250"/>
      <c r="I16" s="271"/>
      <c r="J16" s="251"/>
      <c r="K16" s="228"/>
      <c r="L16" s="252"/>
      <c r="M16" s="228"/>
      <c r="N16" s="251"/>
      <c r="O16" s="253"/>
      <c r="P16" s="253"/>
      <c r="Q16" s="228"/>
      <c r="R16" s="312"/>
      <c r="S16" s="239"/>
    </row>
    <row r="17" spans="2:19" s="237" customFormat="1" ht="15" x14ac:dyDescent="0.25">
      <c r="B17" s="241"/>
      <c r="C17" s="287"/>
      <c r="D17" s="244"/>
      <c r="E17" s="228"/>
      <c r="F17" s="258"/>
      <c r="G17" s="249"/>
      <c r="H17" s="250"/>
      <c r="I17" s="271"/>
      <c r="J17" s="251"/>
      <c r="K17" s="228"/>
      <c r="L17" s="252"/>
      <c r="M17" s="228"/>
      <c r="N17" s="251"/>
      <c r="O17" s="253"/>
      <c r="P17" s="253"/>
      <c r="Q17" s="228"/>
      <c r="R17" s="312"/>
      <c r="S17" s="239"/>
    </row>
    <row r="18" spans="2:19" s="237" customFormat="1" ht="15" x14ac:dyDescent="0.25">
      <c r="B18" s="241"/>
      <c r="C18" s="287"/>
      <c r="D18" s="244"/>
      <c r="E18" s="228"/>
      <c r="F18" s="258"/>
      <c r="G18" s="249"/>
      <c r="H18" s="250"/>
      <c r="I18" s="271"/>
      <c r="J18" s="251"/>
      <c r="K18" s="228"/>
      <c r="L18" s="252"/>
      <c r="M18" s="228"/>
      <c r="N18" s="251"/>
      <c r="O18" s="253"/>
      <c r="P18" s="253"/>
      <c r="Q18" s="228"/>
      <c r="R18" s="312"/>
      <c r="S18" s="239"/>
    </row>
    <row r="19" spans="2:19" s="237" customFormat="1" ht="15" x14ac:dyDescent="0.25">
      <c r="B19" s="241"/>
      <c r="C19" s="287"/>
      <c r="D19" s="244"/>
      <c r="E19" s="228"/>
      <c r="F19" s="258"/>
      <c r="G19" s="249"/>
      <c r="H19" s="250"/>
      <c r="I19" s="271"/>
      <c r="J19" s="251"/>
      <c r="K19" s="228"/>
      <c r="L19" s="252"/>
      <c r="M19" s="228"/>
      <c r="N19" s="251"/>
      <c r="O19" s="253"/>
      <c r="P19" s="253"/>
      <c r="Q19" s="228"/>
      <c r="R19" s="312"/>
      <c r="S19" s="239"/>
    </row>
    <row r="20" spans="2:19" s="237" customFormat="1" ht="15" x14ac:dyDescent="0.25">
      <c r="B20" s="241"/>
      <c r="C20" s="287"/>
      <c r="D20" s="244"/>
      <c r="E20" s="228"/>
      <c r="F20" s="258"/>
      <c r="G20" s="249"/>
      <c r="H20" s="250"/>
      <c r="I20" s="271"/>
      <c r="J20" s="251"/>
      <c r="K20" s="228"/>
      <c r="L20" s="252"/>
      <c r="M20" s="228"/>
      <c r="N20" s="251"/>
      <c r="O20" s="253"/>
      <c r="P20" s="253"/>
      <c r="Q20" s="228"/>
      <c r="R20" s="312"/>
      <c r="S20" s="239"/>
    </row>
    <row r="21" spans="2:19" s="237" customFormat="1" ht="15" x14ac:dyDescent="0.25">
      <c r="B21" s="241"/>
      <c r="C21" s="287"/>
      <c r="D21" s="244"/>
      <c r="E21" s="228"/>
      <c r="F21" s="258"/>
      <c r="G21" s="249"/>
      <c r="H21" s="250"/>
      <c r="I21" s="271"/>
      <c r="J21" s="251"/>
      <c r="K21" s="228"/>
      <c r="L21" s="252"/>
      <c r="M21" s="228"/>
      <c r="N21" s="251"/>
      <c r="O21" s="253"/>
      <c r="P21" s="253"/>
      <c r="Q21" s="228"/>
      <c r="R21" s="312"/>
      <c r="S21" s="239"/>
    </row>
    <row r="23" spans="2:19" x14ac:dyDescent="0.2">
      <c r="D23" s="227" t="s">
        <v>677</v>
      </c>
      <c r="G23" s="224"/>
      <c r="H23" s="227" t="s">
        <v>679</v>
      </c>
      <c r="L23" s="227"/>
      <c r="M23" s="224" t="s">
        <v>680</v>
      </c>
      <c r="N23" s="224"/>
      <c r="O23" s="233" t="s">
        <v>680</v>
      </c>
    </row>
    <row r="24" spans="2:19" x14ac:dyDescent="0.2">
      <c r="D24" s="227"/>
      <c r="G24" s="224"/>
      <c r="H24" s="227"/>
      <c r="L24" s="227"/>
      <c r="N24" s="224"/>
      <c r="O24" s="233"/>
    </row>
    <row r="25" spans="2:19" x14ac:dyDescent="0.2">
      <c r="D25" s="227"/>
      <c r="G25" s="224"/>
      <c r="H25" s="227"/>
      <c r="L25" s="227"/>
      <c r="N25" s="224"/>
      <c r="O25" s="233"/>
    </row>
    <row r="26" spans="2:19" ht="15" x14ac:dyDescent="0.25">
      <c r="D26" s="307" t="s">
        <v>673</v>
      </c>
      <c r="G26" s="224"/>
      <c r="H26" s="307" t="s">
        <v>85</v>
      </c>
      <c r="L26" s="307"/>
      <c r="M26" s="223"/>
      <c r="N26" s="224"/>
      <c r="O26" s="308"/>
      <c r="P26" s="309"/>
    </row>
    <row r="27" spans="2:19" x14ac:dyDescent="0.2">
      <c r="D27" s="227" t="s">
        <v>678</v>
      </c>
      <c r="G27" s="224"/>
      <c r="H27" s="227" t="s">
        <v>133</v>
      </c>
      <c r="L27" s="227"/>
      <c r="M27" s="224" t="s">
        <v>681</v>
      </c>
      <c r="N27" s="224"/>
      <c r="O27" s="233" t="s">
        <v>681</v>
      </c>
    </row>
    <row r="33" spans="3:19" s="233" customFormat="1" x14ac:dyDescent="0.2">
      <c r="C33" s="224"/>
      <c r="D33" s="224"/>
      <c r="E33" s="232"/>
      <c r="F33" s="227"/>
      <c r="G33" s="227"/>
      <c r="H33" s="226"/>
      <c r="K33" s="227"/>
      <c r="L33" s="230"/>
      <c r="M33" s="227"/>
      <c r="O33" s="227"/>
      <c r="P33" s="227"/>
      <c r="Q33" s="227"/>
      <c r="R33" s="224"/>
      <c r="S33" s="310"/>
    </row>
    <row r="34" spans="3:19" s="233" customFormat="1" x14ac:dyDescent="0.2">
      <c r="C34" s="224"/>
      <c r="D34" s="224"/>
      <c r="E34" s="232"/>
      <c r="F34" s="227"/>
      <c r="G34" s="227"/>
      <c r="H34" s="226"/>
      <c r="K34" s="227"/>
      <c r="L34" s="230"/>
      <c r="M34" s="227"/>
      <c r="O34" s="227"/>
      <c r="P34" s="227"/>
      <c r="Q34" s="227"/>
      <c r="R34" s="224"/>
      <c r="S34" s="310"/>
    </row>
  </sheetData>
  <autoFilter ref="K1:K34"/>
  <mergeCells count="20">
    <mergeCell ref="Q1:R1"/>
    <mergeCell ref="B2:Q2"/>
    <mergeCell ref="B3:Q3"/>
    <mergeCell ref="B4:Q4"/>
    <mergeCell ref="B6:Q6"/>
    <mergeCell ref="B7:Q7"/>
    <mergeCell ref="B12:B13"/>
    <mergeCell ref="D12:D13"/>
    <mergeCell ref="E12:E13"/>
    <mergeCell ref="F12:F13"/>
    <mergeCell ref="G12:G13"/>
    <mergeCell ref="O12:P12"/>
    <mergeCell ref="Q12:Q13"/>
    <mergeCell ref="I12:I13"/>
    <mergeCell ref="J12:J13"/>
    <mergeCell ref="K12:K13"/>
    <mergeCell ref="L12:L13"/>
    <mergeCell ref="M12:M13"/>
    <mergeCell ref="N12:N13"/>
    <mergeCell ref="H12:H13"/>
  </mergeCells>
  <conditionalFormatting sqref="M14:M21">
    <cfRule type="cellIs" dxfId="51" priority="6" operator="equal">
      <formula>#REF!</formula>
    </cfRule>
  </conditionalFormatting>
  <conditionalFormatting sqref="E14:E21">
    <cfRule type="duplicateValues" dxfId="50" priority="1"/>
  </conditionalFormatting>
  <printOptions horizontalCentered="1"/>
  <pageMargins left="0.11811023622047245" right="0.11811023622047245" top="0.39370078740157483" bottom="0.39370078740157483" header="0" footer="0"/>
  <pageSetup paperSize="14" scale="85" fitToWidth="0" fitToHeight="0" orientation="landscape" horizontalDpi="0" verticalDpi="0" r:id="rId1"/>
  <headerFooter>
    <oddFooter>&amp;C&amp;P OF &amp;N</oddFooter>
  </headerFooter>
  <colBreaks count="1" manualBreakCount="1">
    <brk id="17" max="57" man="1"/>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37"/>
  <sheetViews>
    <sheetView showGridLines="0" view="pageBreakPreview" topLeftCell="B1" zoomScale="110" zoomScaleNormal="140" zoomScaleSheetLayoutView="110" workbookViewId="0">
      <pane ySplit="13" topLeftCell="A14" activePane="bottomLeft" state="frozen"/>
      <selection activeCell="D1" sqref="D1"/>
      <selection pane="bottomLeft" activeCell="O26" sqref="O26:O30"/>
    </sheetView>
  </sheetViews>
  <sheetFormatPr defaultRowHeight="14.25" x14ac:dyDescent="0.2"/>
  <cols>
    <col min="1" max="1" width="4.42578125" style="224" hidden="1" customWidth="1"/>
    <col min="2" max="2" width="8.42578125" style="224" customWidth="1"/>
    <col min="3" max="3" width="10.28515625" style="224" hidden="1" customWidth="1"/>
    <col min="4" max="4" width="41.140625" style="224" customWidth="1"/>
    <col min="5" max="5" width="28.42578125" style="232" customWidth="1"/>
    <col min="6" max="6" width="9.28515625" style="227" hidden="1" customWidth="1"/>
    <col min="7" max="7" width="12.140625" style="227" hidden="1" customWidth="1"/>
    <col min="8" max="8" width="9" style="226" customWidth="1"/>
    <col min="9" max="9" width="16.7109375" style="233" customWidth="1"/>
    <col min="10" max="10" width="11.42578125" style="233" customWidth="1"/>
    <col min="11" max="11" width="29.85546875" style="227" hidden="1" customWidth="1"/>
    <col min="12" max="12" width="17.5703125" style="230" hidden="1" customWidth="1"/>
    <col min="13" max="13" width="12.5703125" style="227" hidden="1" customWidth="1"/>
    <col min="14" max="14" width="11.42578125" style="233" customWidth="1"/>
    <col min="15" max="15" width="10.7109375" style="227" customWidth="1"/>
    <col min="16" max="16" width="11" style="227" customWidth="1"/>
    <col min="17" max="17" width="12.85546875" style="227" customWidth="1"/>
    <col min="18" max="18" width="0.28515625" style="224" hidden="1" customWidth="1"/>
    <col min="19" max="19" width="17.7109375" style="232" customWidth="1"/>
    <col min="20" max="16384" width="9.140625" style="224"/>
  </cols>
  <sheetData>
    <row r="1" spans="2:19" x14ac:dyDescent="0.2">
      <c r="D1" s="230"/>
      <c r="E1" s="231"/>
      <c r="I1" s="230"/>
      <c r="J1" s="230"/>
      <c r="N1" s="230"/>
      <c r="Q1" s="451" t="s">
        <v>119</v>
      </c>
      <c r="R1" s="451"/>
    </row>
    <row r="2" spans="2:19" x14ac:dyDescent="0.2">
      <c r="B2" s="452" t="s">
        <v>96</v>
      </c>
      <c r="C2" s="452"/>
      <c r="D2" s="452"/>
      <c r="E2" s="452"/>
      <c r="F2" s="452"/>
      <c r="G2" s="452"/>
      <c r="H2" s="452"/>
      <c r="I2" s="452"/>
      <c r="J2" s="452"/>
      <c r="K2" s="452"/>
      <c r="L2" s="452"/>
      <c r="M2" s="452"/>
      <c r="N2" s="452"/>
      <c r="O2" s="452"/>
      <c r="P2" s="452"/>
      <c r="Q2" s="452"/>
    </row>
    <row r="3" spans="2:19" x14ac:dyDescent="0.2">
      <c r="B3" s="452" t="s">
        <v>121</v>
      </c>
      <c r="C3" s="452"/>
      <c r="D3" s="452"/>
      <c r="E3" s="452"/>
      <c r="F3" s="452"/>
      <c r="G3" s="452"/>
      <c r="H3" s="452"/>
      <c r="I3" s="452"/>
      <c r="J3" s="452"/>
      <c r="K3" s="452"/>
      <c r="L3" s="452"/>
      <c r="M3" s="452"/>
      <c r="N3" s="452"/>
      <c r="O3" s="452"/>
      <c r="P3" s="452"/>
      <c r="Q3" s="452"/>
    </row>
    <row r="4" spans="2:19" x14ac:dyDescent="0.2">
      <c r="B4" s="452" t="s">
        <v>137</v>
      </c>
      <c r="C4" s="452"/>
      <c r="D4" s="452"/>
      <c r="E4" s="452"/>
      <c r="F4" s="452"/>
      <c r="G4" s="452"/>
      <c r="H4" s="452"/>
      <c r="I4" s="452"/>
      <c r="J4" s="452"/>
      <c r="K4" s="452"/>
      <c r="L4" s="452"/>
      <c r="M4" s="452"/>
      <c r="N4" s="452"/>
      <c r="O4" s="452"/>
      <c r="P4" s="452"/>
      <c r="Q4" s="452"/>
    </row>
    <row r="5" spans="2:19" x14ac:dyDescent="0.2">
      <c r="L5" s="234"/>
      <c r="O5" s="235"/>
      <c r="P5" s="236"/>
    </row>
    <row r="6" spans="2:19" x14ac:dyDescent="0.2">
      <c r="B6" s="452" t="s">
        <v>120</v>
      </c>
      <c r="C6" s="452"/>
      <c r="D6" s="452"/>
      <c r="E6" s="452"/>
      <c r="F6" s="452"/>
      <c r="G6" s="452"/>
      <c r="H6" s="452"/>
      <c r="I6" s="452"/>
      <c r="J6" s="452"/>
      <c r="K6" s="452"/>
      <c r="L6" s="452"/>
      <c r="M6" s="452"/>
      <c r="N6" s="452"/>
      <c r="O6" s="452"/>
      <c r="P6" s="452"/>
      <c r="Q6" s="452"/>
    </row>
    <row r="7" spans="2:19" ht="15" x14ac:dyDescent="0.2">
      <c r="B7" s="464" t="s">
        <v>39</v>
      </c>
      <c r="C7" s="464"/>
      <c r="D7" s="464"/>
      <c r="E7" s="464"/>
      <c r="F7" s="464"/>
      <c r="G7" s="464"/>
      <c r="H7" s="464"/>
      <c r="I7" s="464"/>
      <c r="J7" s="464"/>
      <c r="K7" s="464"/>
      <c r="L7" s="464"/>
      <c r="M7" s="464"/>
      <c r="N7" s="464"/>
      <c r="O7" s="464"/>
      <c r="P7" s="464"/>
      <c r="Q7" s="464"/>
    </row>
    <row r="8" spans="2:19" x14ac:dyDescent="0.2">
      <c r="B8" s="320"/>
      <c r="C8" s="320"/>
      <c r="D8" s="320"/>
      <c r="E8" s="320"/>
      <c r="F8" s="320"/>
      <c r="G8" s="320"/>
      <c r="H8" s="320"/>
      <c r="I8" s="320"/>
      <c r="J8" s="320"/>
      <c r="K8" s="320"/>
      <c r="L8" s="320"/>
      <c r="M8" s="320"/>
      <c r="N8" s="320"/>
      <c r="O8" s="320"/>
      <c r="P8" s="320"/>
      <c r="Q8" s="320"/>
    </row>
    <row r="9" spans="2:19" x14ac:dyDescent="0.2">
      <c r="B9" s="224" t="s">
        <v>682</v>
      </c>
    </row>
    <row r="10" spans="2:19" x14ac:dyDescent="0.2">
      <c r="B10" s="224" t="s">
        <v>683</v>
      </c>
    </row>
    <row r="11" spans="2:19" ht="4.5" customHeight="1" x14ac:dyDescent="0.2"/>
    <row r="12" spans="2:19" s="237" customFormat="1" ht="37.5" customHeight="1" x14ac:dyDescent="0.25">
      <c r="B12" s="460" t="s">
        <v>110</v>
      </c>
      <c r="C12" s="238" t="s">
        <v>1</v>
      </c>
      <c r="D12" s="457" t="s">
        <v>97</v>
      </c>
      <c r="E12" s="462" t="s">
        <v>116</v>
      </c>
      <c r="F12" s="457" t="s">
        <v>155</v>
      </c>
      <c r="G12" s="457" t="s">
        <v>156</v>
      </c>
      <c r="H12" s="457" t="s">
        <v>136</v>
      </c>
      <c r="I12" s="453" t="s">
        <v>98</v>
      </c>
      <c r="J12" s="453" t="s">
        <v>132</v>
      </c>
      <c r="K12" s="457" t="s">
        <v>3</v>
      </c>
      <c r="L12" s="457" t="s">
        <v>2</v>
      </c>
      <c r="M12" s="457" t="s">
        <v>101</v>
      </c>
      <c r="N12" s="453" t="s">
        <v>100</v>
      </c>
      <c r="O12" s="455" t="s">
        <v>131</v>
      </c>
      <c r="P12" s="456"/>
      <c r="Q12" s="457" t="s">
        <v>99</v>
      </c>
      <c r="R12" s="238" t="s">
        <v>4</v>
      </c>
      <c r="S12" s="239"/>
    </row>
    <row r="13" spans="2:19" s="237" customFormat="1" ht="16.5" customHeight="1" x14ac:dyDescent="0.25">
      <c r="B13" s="461"/>
      <c r="C13" s="240"/>
      <c r="D13" s="458"/>
      <c r="E13" s="463"/>
      <c r="F13" s="458"/>
      <c r="G13" s="458"/>
      <c r="H13" s="458"/>
      <c r="I13" s="454"/>
      <c r="J13" s="454"/>
      <c r="K13" s="458"/>
      <c r="L13" s="458"/>
      <c r="M13" s="458"/>
      <c r="N13" s="454"/>
      <c r="O13" s="238" t="s">
        <v>130</v>
      </c>
      <c r="P13" s="238" t="s">
        <v>117</v>
      </c>
      <c r="Q13" s="458"/>
      <c r="R13" s="238"/>
      <c r="S13" s="239"/>
    </row>
    <row r="14" spans="2:19" ht="5.25" customHeight="1" x14ac:dyDescent="0.2">
      <c r="B14" s="261"/>
      <c r="D14" s="244"/>
      <c r="E14" s="248"/>
      <c r="F14" s="228"/>
      <c r="G14" s="228"/>
      <c r="H14" s="250"/>
      <c r="I14" s="229"/>
      <c r="J14" s="229"/>
      <c r="K14" s="228"/>
      <c r="L14" s="252"/>
      <c r="M14" s="228"/>
      <c r="N14" s="229"/>
      <c r="O14" s="228"/>
      <c r="P14" s="228"/>
      <c r="Q14" s="254"/>
      <c r="R14" s="286"/>
    </row>
    <row r="15" spans="2:19" x14ac:dyDescent="0.2">
      <c r="B15" s="311"/>
      <c r="C15" s="274"/>
      <c r="D15" s="244" t="s">
        <v>114</v>
      </c>
      <c r="E15" s="248" t="s">
        <v>115</v>
      </c>
      <c r="F15" s="228"/>
      <c r="G15" s="228"/>
      <c r="H15" s="250" t="s">
        <v>128</v>
      </c>
      <c r="I15" s="229">
        <v>99971.58</v>
      </c>
      <c r="J15" s="275">
        <v>1</v>
      </c>
      <c r="K15" s="228" t="s">
        <v>7</v>
      </c>
      <c r="L15" s="252" t="s">
        <v>14</v>
      </c>
      <c r="M15" s="228" t="s">
        <v>105</v>
      </c>
      <c r="N15" s="275">
        <v>1</v>
      </c>
      <c r="O15" s="253">
        <v>0</v>
      </c>
      <c r="P15" s="253">
        <v>0</v>
      </c>
      <c r="Q15" s="254"/>
      <c r="R15" s="256"/>
    </row>
    <row r="16" spans="2:19" ht="28.5" x14ac:dyDescent="0.2">
      <c r="B16" s="311"/>
      <c r="C16" s="274"/>
      <c r="D16" s="267" t="str">
        <f>UPPER("12 seater T-shape Conference Table")</f>
        <v>12 SEATER T-SHAPE CONFERENCE TABLE</v>
      </c>
      <c r="E16" s="268" t="s">
        <v>145</v>
      </c>
      <c r="F16" s="228"/>
      <c r="G16" s="249">
        <v>44208</v>
      </c>
      <c r="H16" s="250" t="s">
        <v>128</v>
      </c>
      <c r="I16" s="229">
        <v>97500</v>
      </c>
      <c r="J16" s="275">
        <v>1</v>
      </c>
      <c r="K16" s="228" t="s">
        <v>7</v>
      </c>
      <c r="L16" s="252" t="s">
        <v>153</v>
      </c>
      <c r="M16" s="228" t="s">
        <v>105</v>
      </c>
      <c r="N16" s="275"/>
      <c r="O16" s="253"/>
      <c r="P16" s="253"/>
      <c r="Q16" s="254"/>
      <c r="R16" s="256"/>
    </row>
    <row r="17" spans="1:19" ht="15" x14ac:dyDescent="0.2">
      <c r="B17" s="257"/>
      <c r="C17" s="274"/>
      <c r="D17" s="244"/>
      <c r="E17" s="248"/>
      <c r="F17" s="258" t="s">
        <v>82</v>
      </c>
      <c r="G17" s="258"/>
      <c r="H17" s="259"/>
      <c r="I17" s="260">
        <f>SUM(I15:I16)</f>
        <v>197471.58000000002</v>
      </c>
      <c r="J17" s="260"/>
      <c r="K17" s="228"/>
      <c r="L17" s="284"/>
      <c r="M17" s="228"/>
      <c r="N17" s="260"/>
      <c r="O17" s="285"/>
      <c r="P17" s="228"/>
      <c r="Q17" s="254"/>
      <c r="R17" s="256"/>
    </row>
    <row r="18" spans="1:19" s="237" customFormat="1" ht="15" x14ac:dyDescent="0.25">
      <c r="B18" s="272"/>
      <c r="C18" s="287"/>
      <c r="D18" s="263"/>
      <c r="E18" s="264"/>
      <c r="F18" s="258"/>
      <c r="G18" s="258"/>
      <c r="H18" s="259"/>
      <c r="I18" s="260"/>
      <c r="J18" s="260"/>
      <c r="K18" s="258"/>
      <c r="L18" s="291"/>
      <c r="M18" s="258"/>
      <c r="N18" s="260"/>
      <c r="O18" s="292"/>
      <c r="P18" s="258"/>
      <c r="Q18" s="254"/>
      <c r="R18" s="288"/>
      <c r="S18" s="239"/>
    </row>
    <row r="19" spans="1:19" s="237" customFormat="1" ht="15" x14ac:dyDescent="0.25">
      <c r="B19" s="272"/>
      <c r="C19" s="262"/>
      <c r="D19" s="263"/>
      <c r="E19" s="264"/>
      <c r="F19" s="258"/>
      <c r="G19" s="258"/>
      <c r="H19" s="259"/>
      <c r="I19" s="260"/>
      <c r="J19" s="260"/>
      <c r="K19" s="258"/>
      <c r="L19" s="291"/>
      <c r="M19" s="258"/>
      <c r="N19" s="260"/>
      <c r="O19" s="292"/>
      <c r="P19" s="258"/>
      <c r="Q19" s="254"/>
      <c r="R19" s="288"/>
      <c r="S19" s="239"/>
    </row>
    <row r="20" spans="1:19" s="237" customFormat="1" ht="15" x14ac:dyDescent="0.25">
      <c r="B20" s="272"/>
      <c r="C20" s="262"/>
      <c r="D20" s="263"/>
      <c r="E20" s="264"/>
      <c r="F20" s="258"/>
      <c r="G20" s="258"/>
      <c r="H20" s="259"/>
      <c r="I20" s="260"/>
      <c r="J20" s="260"/>
      <c r="K20" s="258"/>
      <c r="L20" s="291"/>
      <c r="M20" s="258"/>
      <c r="N20" s="260"/>
      <c r="O20" s="292"/>
      <c r="P20" s="258"/>
      <c r="Q20" s="254"/>
      <c r="R20" s="288"/>
      <c r="S20" s="239"/>
    </row>
    <row r="21" spans="1:19" ht="15" x14ac:dyDescent="0.2">
      <c r="B21" s="261"/>
      <c r="D21" s="244"/>
      <c r="E21" s="248"/>
      <c r="F21" s="228"/>
      <c r="G21" s="228"/>
      <c r="H21" s="250"/>
      <c r="I21" s="229"/>
      <c r="J21" s="275"/>
      <c r="K21" s="228"/>
      <c r="L21" s="252"/>
      <c r="M21" s="228"/>
      <c r="N21" s="275"/>
      <c r="O21" s="253"/>
      <c r="P21" s="253"/>
      <c r="Q21" s="254"/>
      <c r="R21" s="286"/>
    </row>
    <row r="22" spans="1:19" x14ac:dyDescent="0.2">
      <c r="B22" s="257"/>
      <c r="C22" s="293"/>
      <c r="D22" s="294"/>
      <c r="E22" s="295"/>
      <c r="F22" s="254"/>
      <c r="G22" s="254"/>
      <c r="H22" s="250"/>
      <c r="I22" s="296"/>
      <c r="J22" s="275"/>
      <c r="K22" s="254"/>
      <c r="L22" s="297"/>
      <c r="M22" s="254"/>
      <c r="N22" s="275"/>
      <c r="O22" s="253"/>
      <c r="P22" s="253"/>
      <c r="Q22" s="254"/>
      <c r="R22" s="298"/>
    </row>
    <row r="23" spans="1:19" ht="15" x14ac:dyDescent="0.25">
      <c r="A23" s="299"/>
      <c r="B23" s="257"/>
      <c r="C23" s="300"/>
      <c r="D23" s="301"/>
      <c r="E23" s="302"/>
      <c r="F23" s="258"/>
      <c r="G23" s="258"/>
      <c r="H23" s="259"/>
      <c r="I23" s="303"/>
      <c r="J23" s="303"/>
      <c r="K23" s="304"/>
      <c r="L23" s="305"/>
      <c r="M23" s="304"/>
      <c r="N23" s="303"/>
      <c r="O23" s="306"/>
      <c r="P23" s="304"/>
      <c r="Q23" s="304"/>
    </row>
    <row r="26" spans="1:19" x14ac:dyDescent="0.2">
      <c r="D26" s="227" t="s">
        <v>677</v>
      </c>
      <c r="G26" s="224"/>
      <c r="H26" s="227" t="s">
        <v>679</v>
      </c>
      <c r="L26" s="227"/>
      <c r="M26" s="224" t="s">
        <v>680</v>
      </c>
      <c r="N26" s="224"/>
      <c r="O26" s="233" t="s">
        <v>680</v>
      </c>
    </row>
    <row r="27" spans="1:19" x14ac:dyDescent="0.2">
      <c r="D27" s="227"/>
      <c r="G27" s="224"/>
      <c r="H27" s="227"/>
      <c r="L27" s="227"/>
      <c r="N27" s="224"/>
      <c r="O27" s="233"/>
    </row>
    <row r="28" spans="1:19" x14ac:dyDescent="0.2">
      <c r="D28" s="227"/>
      <c r="G28" s="224"/>
      <c r="H28" s="227"/>
      <c r="L28" s="227"/>
      <c r="N28" s="224"/>
      <c r="O28" s="233"/>
    </row>
    <row r="29" spans="1:19" ht="15" x14ac:dyDescent="0.25">
      <c r="D29" s="307" t="s">
        <v>673</v>
      </c>
      <c r="G29" s="224"/>
      <c r="H29" s="307" t="s">
        <v>85</v>
      </c>
      <c r="L29" s="307"/>
      <c r="M29" s="223"/>
      <c r="N29" s="224"/>
      <c r="O29" s="308"/>
      <c r="P29" s="309"/>
    </row>
    <row r="30" spans="1:19" x14ac:dyDescent="0.2">
      <c r="D30" s="227" t="s">
        <v>678</v>
      </c>
      <c r="G30" s="224"/>
      <c r="H30" s="227" t="s">
        <v>133</v>
      </c>
      <c r="L30" s="227"/>
      <c r="M30" s="224" t="s">
        <v>681</v>
      </c>
      <c r="N30" s="224"/>
      <c r="O30" s="233" t="s">
        <v>681</v>
      </c>
    </row>
    <row r="36" spans="3:19" s="233" customFormat="1" x14ac:dyDescent="0.2">
      <c r="C36" s="224"/>
      <c r="D36" s="224"/>
      <c r="E36" s="232"/>
      <c r="F36" s="227"/>
      <c r="G36" s="227"/>
      <c r="H36" s="226"/>
      <c r="K36" s="227"/>
      <c r="L36" s="230"/>
      <c r="M36" s="227"/>
      <c r="O36" s="227"/>
      <c r="P36" s="227"/>
      <c r="Q36" s="227"/>
      <c r="R36" s="224"/>
      <c r="S36" s="310"/>
    </row>
    <row r="37" spans="3:19" s="233" customFormat="1" x14ac:dyDescent="0.2">
      <c r="C37" s="224"/>
      <c r="D37" s="224"/>
      <c r="E37" s="232"/>
      <c r="F37" s="227"/>
      <c r="G37" s="227"/>
      <c r="H37" s="226"/>
      <c r="K37" s="227"/>
      <c r="L37" s="230"/>
      <c r="M37" s="227"/>
      <c r="O37" s="227"/>
      <c r="P37" s="227"/>
      <c r="Q37" s="227"/>
      <c r="R37" s="224"/>
      <c r="S37" s="310"/>
    </row>
  </sheetData>
  <autoFilter ref="K1:K37"/>
  <mergeCells count="20">
    <mergeCell ref="Q1:R1"/>
    <mergeCell ref="B2:Q2"/>
    <mergeCell ref="B3:Q3"/>
    <mergeCell ref="B4:Q4"/>
    <mergeCell ref="B6:Q6"/>
    <mergeCell ref="B7:Q7"/>
    <mergeCell ref="B12:B13"/>
    <mergeCell ref="D12:D13"/>
    <mergeCell ref="E12:E13"/>
    <mergeCell ref="F12:F13"/>
    <mergeCell ref="G12:G13"/>
    <mergeCell ref="O12:P12"/>
    <mergeCell ref="Q12:Q13"/>
    <mergeCell ref="I12:I13"/>
    <mergeCell ref="J12:J13"/>
    <mergeCell ref="K12:K13"/>
    <mergeCell ref="L12:L13"/>
    <mergeCell ref="M12:M13"/>
    <mergeCell ref="N12:N13"/>
    <mergeCell ref="H12:H13"/>
  </mergeCells>
  <conditionalFormatting sqref="M14:M22">
    <cfRule type="cellIs" dxfId="49" priority="6" operator="equal">
      <formula>#REF!</formula>
    </cfRule>
  </conditionalFormatting>
  <printOptions horizontalCentered="1"/>
  <pageMargins left="0.11811023622047245" right="0.11811023622047245" top="0.39370078740157483" bottom="0.39370078740157483" header="0" footer="0"/>
  <pageSetup paperSize="14" scale="85" fitToWidth="0" fitToHeight="0" orientation="landscape" horizontalDpi="0" verticalDpi="0" r:id="rId1"/>
  <headerFooter>
    <oddFooter>&amp;C&amp;P OF &amp;N</oddFooter>
  </headerFooter>
  <colBreaks count="1" manualBreakCount="1">
    <brk id="17" max="57" man="1"/>
  </col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7"/>
  <sheetViews>
    <sheetView showGridLines="0" view="pageBreakPreview" topLeftCell="B1" zoomScale="110" zoomScaleNormal="140" zoomScaleSheetLayoutView="110" workbookViewId="0">
      <pane ySplit="12" topLeftCell="A13" activePane="bottomLeft" state="frozen"/>
      <selection activeCell="D1" sqref="D1"/>
      <selection pane="bottomLeft" activeCell="B21" sqref="A21:XFD21"/>
    </sheetView>
  </sheetViews>
  <sheetFormatPr defaultRowHeight="14.25" x14ac:dyDescent="0.2"/>
  <cols>
    <col min="1" max="1" width="4.42578125" style="224" hidden="1" customWidth="1"/>
    <col min="2" max="2" width="10.28515625" style="224" customWidth="1"/>
    <col min="3" max="3" width="10.28515625" style="224" hidden="1" customWidth="1"/>
    <col min="4" max="4" width="41.140625" style="224" customWidth="1"/>
    <col min="5" max="5" width="30.28515625" style="232" customWidth="1"/>
    <col min="6" max="6" width="9.28515625" style="227" hidden="1" customWidth="1"/>
    <col min="7" max="7" width="12.140625" style="227" hidden="1" customWidth="1"/>
    <col min="8" max="8" width="10.85546875" style="226" customWidth="1"/>
    <col min="9" max="9" width="16.7109375" style="233" customWidth="1"/>
    <col min="10" max="10" width="13" style="233" customWidth="1"/>
    <col min="11" max="11" width="29.85546875" style="227" hidden="1" customWidth="1"/>
    <col min="12" max="12" width="17.5703125" style="230" hidden="1" customWidth="1"/>
    <col min="13" max="13" width="12.5703125" style="227" hidden="1" customWidth="1"/>
    <col min="14" max="14" width="12.7109375" style="233" customWidth="1"/>
    <col min="15" max="15" width="10.7109375" style="227" customWidth="1"/>
    <col min="16" max="16" width="11" style="227" customWidth="1"/>
    <col min="17" max="17" width="15.7109375" style="227" customWidth="1"/>
    <col min="18" max="18" width="0.28515625" style="224" hidden="1" customWidth="1"/>
    <col min="19" max="19" width="17.7109375" style="232" customWidth="1"/>
    <col min="20" max="16384" width="9.140625" style="224"/>
  </cols>
  <sheetData>
    <row r="1" spans="2:19" x14ac:dyDescent="0.2">
      <c r="D1" s="230"/>
      <c r="E1" s="231"/>
      <c r="I1" s="230"/>
      <c r="J1" s="230"/>
      <c r="N1" s="230"/>
      <c r="Q1" s="451" t="s">
        <v>119</v>
      </c>
      <c r="R1" s="451"/>
    </row>
    <row r="2" spans="2:19" x14ac:dyDescent="0.2">
      <c r="B2" s="452" t="s">
        <v>96</v>
      </c>
      <c r="C2" s="452"/>
      <c r="D2" s="452"/>
      <c r="E2" s="452"/>
      <c r="F2" s="452"/>
      <c r="G2" s="452"/>
      <c r="H2" s="452"/>
      <c r="I2" s="452"/>
      <c r="J2" s="452"/>
      <c r="K2" s="452"/>
      <c r="L2" s="452"/>
      <c r="M2" s="452"/>
      <c r="N2" s="452"/>
      <c r="O2" s="452"/>
      <c r="P2" s="452"/>
      <c r="Q2" s="452"/>
    </row>
    <row r="3" spans="2:19" x14ac:dyDescent="0.2">
      <c r="B3" s="452" t="s">
        <v>121</v>
      </c>
      <c r="C3" s="452"/>
      <c r="D3" s="452"/>
      <c r="E3" s="452"/>
      <c r="F3" s="452"/>
      <c r="G3" s="452"/>
      <c r="H3" s="452"/>
      <c r="I3" s="452"/>
      <c r="J3" s="452"/>
      <c r="K3" s="452"/>
      <c r="L3" s="452"/>
      <c r="M3" s="452"/>
      <c r="N3" s="452"/>
      <c r="O3" s="452"/>
      <c r="P3" s="452"/>
      <c r="Q3" s="452"/>
    </row>
    <row r="4" spans="2:19" x14ac:dyDescent="0.2">
      <c r="B4" s="452" t="s">
        <v>137</v>
      </c>
      <c r="C4" s="452"/>
      <c r="D4" s="452"/>
      <c r="E4" s="452"/>
      <c r="F4" s="452"/>
      <c r="G4" s="452"/>
      <c r="H4" s="452"/>
      <c r="I4" s="452"/>
      <c r="J4" s="452"/>
      <c r="K4" s="452"/>
      <c r="L4" s="452"/>
      <c r="M4" s="452"/>
      <c r="N4" s="452"/>
      <c r="O4" s="452"/>
      <c r="P4" s="452"/>
      <c r="Q4" s="452"/>
    </row>
    <row r="5" spans="2:19" x14ac:dyDescent="0.2">
      <c r="L5" s="234"/>
      <c r="O5" s="235"/>
      <c r="P5" s="236"/>
    </row>
    <row r="6" spans="2:19" x14ac:dyDescent="0.2">
      <c r="B6" s="452" t="s">
        <v>120</v>
      </c>
      <c r="C6" s="452"/>
      <c r="D6" s="452"/>
      <c r="E6" s="452"/>
      <c r="F6" s="452"/>
      <c r="G6" s="452"/>
      <c r="H6" s="452"/>
      <c r="I6" s="452"/>
      <c r="J6" s="452"/>
      <c r="K6" s="452"/>
      <c r="L6" s="452"/>
      <c r="M6" s="452"/>
      <c r="N6" s="452"/>
      <c r="O6" s="452"/>
      <c r="P6" s="452"/>
      <c r="Q6" s="452"/>
    </row>
    <row r="7" spans="2:19" x14ac:dyDescent="0.2">
      <c r="B7" s="320"/>
      <c r="C7" s="320"/>
      <c r="D7" s="320"/>
      <c r="E7" s="320"/>
      <c r="F7" s="320"/>
      <c r="G7" s="320"/>
      <c r="H7" s="320"/>
      <c r="I7" s="320"/>
      <c r="J7" s="320"/>
      <c r="K7" s="320"/>
      <c r="L7" s="320"/>
      <c r="M7" s="320"/>
      <c r="N7" s="320"/>
      <c r="O7" s="320"/>
      <c r="P7" s="320"/>
      <c r="Q7" s="320"/>
    </row>
    <row r="8" spans="2:19" x14ac:dyDescent="0.2">
      <c r="B8" s="224" t="s">
        <v>682</v>
      </c>
    </row>
    <row r="9" spans="2:19" x14ac:dyDescent="0.2">
      <c r="B9" s="224" t="s">
        <v>683</v>
      </c>
    </row>
    <row r="10" spans="2:19" ht="4.5" customHeight="1" x14ac:dyDescent="0.2"/>
    <row r="11" spans="2:19" s="237" customFormat="1" ht="37.5" customHeight="1" x14ac:dyDescent="0.25">
      <c r="B11" s="460" t="s">
        <v>110</v>
      </c>
      <c r="C11" s="238" t="s">
        <v>1</v>
      </c>
      <c r="D11" s="457" t="s">
        <v>97</v>
      </c>
      <c r="E11" s="462" t="s">
        <v>116</v>
      </c>
      <c r="F11" s="457" t="s">
        <v>155</v>
      </c>
      <c r="G11" s="457" t="s">
        <v>156</v>
      </c>
      <c r="H11" s="457" t="s">
        <v>136</v>
      </c>
      <c r="I11" s="453" t="s">
        <v>98</v>
      </c>
      <c r="J11" s="453" t="s">
        <v>132</v>
      </c>
      <c r="K11" s="457" t="s">
        <v>3</v>
      </c>
      <c r="L11" s="457" t="s">
        <v>2</v>
      </c>
      <c r="M11" s="457" t="s">
        <v>101</v>
      </c>
      <c r="N11" s="453" t="s">
        <v>100</v>
      </c>
      <c r="O11" s="455" t="s">
        <v>131</v>
      </c>
      <c r="P11" s="456"/>
      <c r="Q11" s="457" t="s">
        <v>99</v>
      </c>
      <c r="R11" s="238" t="s">
        <v>4</v>
      </c>
      <c r="S11" s="239"/>
    </row>
    <row r="12" spans="2:19" s="237" customFormat="1" ht="16.5" customHeight="1" x14ac:dyDescent="0.25">
      <c r="B12" s="461"/>
      <c r="C12" s="240"/>
      <c r="D12" s="458"/>
      <c r="E12" s="463"/>
      <c r="F12" s="458"/>
      <c r="G12" s="458"/>
      <c r="H12" s="458"/>
      <c r="I12" s="454"/>
      <c r="J12" s="454"/>
      <c r="K12" s="458"/>
      <c r="L12" s="458"/>
      <c r="M12" s="458"/>
      <c r="N12" s="454"/>
      <c r="O12" s="238" t="s">
        <v>130</v>
      </c>
      <c r="P12" s="238" t="s">
        <v>117</v>
      </c>
      <c r="Q12" s="458"/>
      <c r="R12" s="238"/>
      <c r="S12" s="239"/>
    </row>
    <row r="13" spans="2:19" ht="15" x14ac:dyDescent="0.2">
      <c r="B13" s="241" t="s">
        <v>111</v>
      </c>
      <c r="D13" s="242"/>
      <c r="E13" s="243"/>
      <c r="F13" s="244"/>
      <c r="G13" s="244"/>
      <c r="H13" s="242"/>
      <c r="I13" s="245"/>
      <c r="J13" s="245"/>
      <c r="K13" s="244"/>
      <c r="L13" s="246"/>
      <c r="M13" s="244"/>
      <c r="N13" s="245"/>
      <c r="O13" s="244"/>
      <c r="P13" s="244"/>
      <c r="Q13" s="244"/>
      <c r="R13" s="242"/>
    </row>
    <row r="14" spans="2:19" x14ac:dyDescent="0.2">
      <c r="B14" s="311"/>
      <c r="C14" s="247">
        <v>43462</v>
      </c>
      <c r="D14" s="244" t="s">
        <v>104</v>
      </c>
      <c r="E14" s="248" t="s">
        <v>5</v>
      </c>
      <c r="F14" s="228"/>
      <c r="G14" s="249">
        <v>43462</v>
      </c>
      <c r="H14" s="250"/>
      <c r="I14" s="229">
        <v>1782828.5</v>
      </c>
      <c r="J14" s="251">
        <v>1</v>
      </c>
      <c r="K14" s="228" t="s">
        <v>7</v>
      </c>
      <c r="L14" s="252" t="s">
        <v>103</v>
      </c>
      <c r="M14" s="228" t="s">
        <v>105</v>
      </c>
      <c r="N14" s="251">
        <v>1</v>
      </c>
      <c r="O14" s="253">
        <v>0</v>
      </c>
      <c r="P14" s="253">
        <v>0</v>
      </c>
      <c r="Q14" s="254"/>
      <c r="R14" s="255" t="s">
        <v>40</v>
      </c>
    </row>
    <row r="15" spans="2:19" x14ac:dyDescent="0.2">
      <c r="B15" s="311"/>
      <c r="C15" s="247">
        <v>28858</v>
      </c>
      <c r="D15" s="244" t="s">
        <v>104</v>
      </c>
      <c r="E15" s="248" t="s">
        <v>86</v>
      </c>
      <c r="F15" s="228"/>
      <c r="G15" s="249">
        <v>28915</v>
      </c>
      <c r="H15" s="250"/>
      <c r="I15" s="229">
        <v>1476980.09</v>
      </c>
      <c r="J15" s="251">
        <v>1</v>
      </c>
      <c r="K15" s="228" t="s">
        <v>7</v>
      </c>
      <c r="L15" s="252" t="s">
        <v>103</v>
      </c>
      <c r="M15" s="228" t="s">
        <v>105</v>
      </c>
      <c r="N15" s="251">
        <v>1</v>
      </c>
      <c r="O15" s="253">
        <v>0</v>
      </c>
      <c r="P15" s="253">
        <v>0</v>
      </c>
      <c r="Q15" s="254"/>
      <c r="R15" s="256"/>
    </row>
    <row r="16" spans="2:19" ht="15" hidden="1" x14ac:dyDescent="0.2">
      <c r="B16" s="311"/>
      <c r="C16" s="247"/>
      <c r="D16" s="244"/>
      <c r="E16" s="248"/>
      <c r="F16" s="258" t="s">
        <v>82</v>
      </c>
      <c r="G16" s="258"/>
      <c r="H16" s="259"/>
      <c r="I16" s="260">
        <f>SUM(I14:I15)</f>
        <v>3259808.59</v>
      </c>
      <c r="J16" s="260"/>
      <c r="K16" s="228"/>
      <c r="L16" s="252"/>
      <c r="M16" s="228"/>
      <c r="N16" s="260"/>
      <c r="O16" s="228"/>
      <c r="P16" s="228"/>
      <c r="Q16" s="254"/>
      <c r="R16" s="256"/>
    </row>
    <row r="17" spans="1:19" s="237" customFormat="1" ht="15" x14ac:dyDescent="0.25">
      <c r="B17" s="241" t="s">
        <v>149</v>
      </c>
      <c r="C17" s="262"/>
      <c r="D17" s="263"/>
      <c r="E17" s="264"/>
      <c r="F17" s="258"/>
      <c r="G17" s="258"/>
      <c r="H17" s="250"/>
      <c r="I17" s="260"/>
      <c r="J17" s="260"/>
      <c r="K17" s="258"/>
      <c r="L17" s="265"/>
      <c r="M17" s="258"/>
      <c r="N17" s="260"/>
      <c r="O17" s="258"/>
      <c r="P17" s="258"/>
      <c r="Q17" s="254"/>
      <c r="R17" s="266"/>
      <c r="S17" s="239"/>
    </row>
    <row r="18" spans="1:19" s="237" customFormat="1" ht="28.5" hidden="1" x14ac:dyDescent="0.25">
      <c r="B18" s="241"/>
      <c r="C18" s="262"/>
      <c r="D18" s="267" t="s">
        <v>150</v>
      </c>
      <c r="E18" s="268" t="s">
        <v>151</v>
      </c>
      <c r="F18" s="258"/>
      <c r="G18" s="258"/>
      <c r="H18" s="250" t="s">
        <v>152</v>
      </c>
      <c r="I18" s="269">
        <v>62994.75</v>
      </c>
      <c r="J18" s="251">
        <v>1</v>
      </c>
      <c r="K18" s="228" t="s">
        <v>84</v>
      </c>
      <c r="L18" s="252" t="s">
        <v>8</v>
      </c>
      <c r="M18" s="228" t="s">
        <v>106</v>
      </c>
      <c r="N18" s="251">
        <v>1</v>
      </c>
      <c r="O18" s="253">
        <v>0</v>
      </c>
      <c r="P18" s="253">
        <v>0</v>
      </c>
      <c r="Q18" s="270" t="s">
        <v>134</v>
      </c>
      <c r="R18" s="266"/>
      <c r="S18" s="239"/>
    </row>
    <row r="19" spans="1:19" s="237" customFormat="1" ht="71.25" x14ac:dyDescent="0.25">
      <c r="B19" s="241"/>
      <c r="C19" s="262"/>
      <c r="D19" s="244" t="s">
        <v>154</v>
      </c>
      <c r="E19" s="228" t="s">
        <v>158</v>
      </c>
      <c r="F19" s="258"/>
      <c r="G19" s="249">
        <v>44564</v>
      </c>
      <c r="H19" s="250" t="s">
        <v>128</v>
      </c>
      <c r="I19" s="271">
        <v>305103.38</v>
      </c>
      <c r="J19" s="251">
        <v>1</v>
      </c>
      <c r="K19" s="228" t="s">
        <v>7</v>
      </c>
      <c r="L19" s="252" t="s">
        <v>6</v>
      </c>
      <c r="M19" s="228" t="s">
        <v>105</v>
      </c>
      <c r="N19" s="251">
        <v>1</v>
      </c>
      <c r="O19" s="253">
        <v>0</v>
      </c>
      <c r="P19" s="253">
        <v>0</v>
      </c>
      <c r="Q19" s="254"/>
      <c r="R19" s="266"/>
      <c r="S19" s="239"/>
    </row>
    <row r="20" spans="1:19" s="237" customFormat="1" ht="15" hidden="1" x14ac:dyDescent="0.25">
      <c r="B20" s="322"/>
      <c r="C20" s="262"/>
      <c r="D20" s="263"/>
      <c r="E20" s="264"/>
      <c r="F20" s="258" t="s">
        <v>82</v>
      </c>
      <c r="G20" s="258"/>
      <c r="H20" s="250"/>
      <c r="I20" s="260">
        <f>SUM(I18:I19)</f>
        <v>368098.13</v>
      </c>
      <c r="J20" s="260"/>
      <c r="K20" s="258"/>
      <c r="L20" s="265"/>
      <c r="M20" s="258"/>
      <c r="N20" s="260"/>
      <c r="O20" s="258"/>
      <c r="P20" s="258"/>
      <c r="Q20" s="254"/>
      <c r="R20" s="266"/>
      <c r="S20" s="239"/>
    </row>
    <row r="21" spans="1:19" ht="15" hidden="1" x14ac:dyDescent="0.2">
      <c r="B21" s="241" t="s">
        <v>146</v>
      </c>
      <c r="D21" s="244"/>
      <c r="E21" s="248"/>
      <c r="F21" s="228"/>
      <c r="G21" s="228"/>
      <c r="H21" s="250"/>
      <c r="I21" s="229"/>
      <c r="J21" s="229"/>
      <c r="K21" s="228"/>
      <c r="L21" s="252"/>
      <c r="M21" s="228"/>
      <c r="N21" s="229"/>
      <c r="O21" s="228"/>
      <c r="P21" s="228"/>
      <c r="Q21" s="270"/>
      <c r="R21" s="273"/>
    </row>
    <row r="22" spans="1:19" ht="28.5" hidden="1" x14ac:dyDescent="0.2">
      <c r="B22" s="311"/>
      <c r="C22" s="274" t="s">
        <v>77</v>
      </c>
      <c r="D22" s="244" t="s">
        <v>20</v>
      </c>
      <c r="E22" s="248" t="s">
        <v>21</v>
      </c>
      <c r="F22" s="228" t="s">
        <v>22</v>
      </c>
      <c r="G22" s="249">
        <v>39086</v>
      </c>
      <c r="H22" s="250" t="s">
        <v>118</v>
      </c>
      <c r="I22" s="229">
        <v>244431.05</v>
      </c>
      <c r="J22" s="275">
        <v>1</v>
      </c>
      <c r="K22" s="228" t="s">
        <v>84</v>
      </c>
      <c r="L22" s="252" t="s">
        <v>8</v>
      </c>
      <c r="M22" s="228" t="s">
        <v>106</v>
      </c>
      <c r="N22" s="275">
        <v>1</v>
      </c>
      <c r="O22" s="253">
        <v>0</v>
      </c>
      <c r="P22" s="253">
        <v>0</v>
      </c>
      <c r="Q22" s="270" t="s">
        <v>135</v>
      </c>
      <c r="R22" s="276" t="s">
        <v>45</v>
      </c>
    </row>
    <row r="23" spans="1:19" s="277" customFormat="1" ht="57" hidden="1" x14ac:dyDescent="0.25">
      <c r="B23" s="323"/>
      <c r="C23" s="261"/>
      <c r="D23" s="244" t="s">
        <v>126</v>
      </c>
      <c r="E23" s="278" t="s">
        <v>127</v>
      </c>
      <c r="F23" s="279" t="s">
        <v>157</v>
      </c>
      <c r="G23" s="280">
        <v>44883</v>
      </c>
      <c r="H23" s="250" t="s">
        <v>128</v>
      </c>
      <c r="I23" s="229">
        <v>56400</v>
      </c>
      <c r="J23" s="275">
        <v>1</v>
      </c>
      <c r="K23" s="228" t="s">
        <v>85</v>
      </c>
      <c r="L23" s="281" t="s">
        <v>129</v>
      </c>
      <c r="M23" s="228" t="s">
        <v>105</v>
      </c>
      <c r="N23" s="275">
        <v>1</v>
      </c>
      <c r="O23" s="253">
        <v>0</v>
      </c>
      <c r="P23" s="253">
        <v>0</v>
      </c>
      <c r="Q23" s="254"/>
      <c r="R23" s="273"/>
      <c r="S23" s="282"/>
    </row>
    <row r="24" spans="1:19" s="277" customFormat="1" ht="28.5" hidden="1" x14ac:dyDescent="0.25">
      <c r="B24" s="323"/>
      <c r="C24" s="261"/>
      <c r="D24" s="267" t="s">
        <v>147</v>
      </c>
      <c r="E24" s="268" t="s">
        <v>148</v>
      </c>
      <c r="F24" s="228"/>
      <c r="G24" s="249">
        <v>38513</v>
      </c>
      <c r="H24" s="250" t="s">
        <v>128</v>
      </c>
      <c r="I24" s="283">
        <v>53665</v>
      </c>
      <c r="J24" s="275">
        <v>1</v>
      </c>
      <c r="K24" s="228" t="s">
        <v>84</v>
      </c>
      <c r="L24" s="252" t="s">
        <v>8</v>
      </c>
      <c r="M24" s="228" t="s">
        <v>106</v>
      </c>
      <c r="N24" s="275">
        <v>1</v>
      </c>
      <c r="O24" s="253">
        <v>0</v>
      </c>
      <c r="P24" s="253">
        <v>0</v>
      </c>
      <c r="Q24" s="270" t="s">
        <v>134</v>
      </c>
      <c r="R24" s="273"/>
      <c r="S24" s="282"/>
    </row>
    <row r="25" spans="1:19" ht="15" hidden="1" x14ac:dyDescent="0.2">
      <c r="B25" s="311"/>
      <c r="C25" s="247"/>
      <c r="D25" s="244"/>
      <c r="E25" s="248"/>
      <c r="F25" s="258" t="s">
        <v>82</v>
      </c>
      <c r="G25" s="258"/>
      <c r="H25" s="259"/>
      <c r="I25" s="260">
        <f>SUM(I22:I24)</f>
        <v>354496.05</v>
      </c>
      <c r="J25" s="260"/>
      <c r="K25" s="228"/>
      <c r="L25" s="284"/>
      <c r="M25" s="228"/>
      <c r="N25" s="260"/>
      <c r="O25" s="285"/>
      <c r="P25" s="228"/>
      <c r="Q25" s="254"/>
      <c r="R25" s="256"/>
    </row>
    <row r="26" spans="1:19" ht="15" x14ac:dyDescent="0.2">
      <c r="B26" s="241" t="s">
        <v>39</v>
      </c>
      <c r="D26" s="244"/>
      <c r="E26" s="248"/>
      <c r="F26" s="228"/>
      <c r="G26" s="228"/>
      <c r="H26" s="250"/>
      <c r="I26" s="229"/>
      <c r="J26" s="229"/>
      <c r="K26" s="228"/>
      <c r="L26" s="252"/>
      <c r="M26" s="228"/>
      <c r="N26" s="229"/>
      <c r="O26" s="228"/>
      <c r="P26" s="228"/>
      <c r="Q26" s="254"/>
      <c r="R26" s="286"/>
    </row>
    <row r="27" spans="1:19" x14ac:dyDescent="0.2">
      <c r="B27" s="311"/>
      <c r="C27" s="274"/>
      <c r="D27" s="244" t="s">
        <v>114</v>
      </c>
      <c r="E27" s="248" t="s">
        <v>115</v>
      </c>
      <c r="F27" s="228"/>
      <c r="G27" s="228"/>
      <c r="H27" s="250" t="s">
        <v>128</v>
      </c>
      <c r="I27" s="229">
        <v>99971.58</v>
      </c>
      <c r="J27" s="275">
        <v>1</v>
      </c>
      <c r="K27" s="228" t="s">
        <v>7</v>
      </c>
      <c r="L27" s="252" t="s">
        <v>14</v>
      </c>
      <c r="M27" s="228" t="s">
        <v>105</v>
      </c>
      <c r="N27" s="275">
        <v>1</v>
      </c>
      <c r="O27" s="253">
        <v>0</v>
      </c>
      <c r="P27" s="253">
        <v>0</v>
      </c>
      <c r="Q27" s="254"/>
      <c r="R27" s="256"/>
    </row>
    <row r="28" spans="1:19" ht="28.5" x14ac:dyDescent="0.2">
      <c r="B28" s="311"/>
      <c r="C28" s="274"/>
      <c r="D28" s="267" t="str">
        <f>UPPER("12 seater T-shape Conference Table")</f>
        <v>12 SEATER T-SHAPE CONFERENCE TABLE</v>
      </c>
      <c r="E28" s="268" t="s">
        <v>145</v>
      </c>
      <c r="F28" s="228"/>
      <c r="G28" s="249">
        <v>44208</v>
      </c>
      <c r="H28" s="250" t="s">
        <v>128</v>
      </c>
      <c r="I28" s="229">
        <v>97500</v>
      </c>
      <c r="J28" s="275">
        <v>1</v>
      </c>
      <c r="K28" s="228" t="s">
        <v>7</v>
      </c>
      <c r="L28" s="252" t="s">
        <v>153</v>
      </c>
      <c r="M28" s="228" t="s">
        <v>105</v>
      </c>
      <c r="N28" s="275"/>
      <c r="O28" s="253"/>
      <c r="P28" s="253"/>
      <c r="Q28" s="254"/>
      <c r="R28" s="256"/>
    </row>
    <row r="29" spans="1:19" ht="15" hidden="1" x14ac:dyDescent="0.2">
      <c r="B29" s="311"/>
      <c r="C29" s="274"/>
      <c r="D29" s="244"/>
      <c r="E29" s="248"/>
      <c r="F29" s="258" t="s">
        <v>82</v>
      </c>
      <c r="G29" s="258"/>
      <c r="H29" s="259"/>
      <c r="I29" s="260">
        <f>SUM(I27:I28)</f>
        <v>197471.58000000002</v>
      </c>
      <c r="J29" s="260"/>
      <c r="K29" s="228"/>
      <c r="L29" s="284"/>
      <c r="M29" s="228"/>
      <c r="N29" s="260"/>
      <c r="O29" s="285"/>
      <c r="P29" s="228"/>
      <c r="Q29" s="254"/>
      <c r="R29" s="256"/>
    </row>
    <row r="30" spans="1:19" ht="15" hidden="1" x14ac:dyDescent="0.2">
      <c r="A30" s="224">
        <v>8</v>
      </c>
      <c r="B30" s="241" t="s">
        <v>143</v>
      </c>
      <c r="D30" s="244"/>
      <c r="E30" s="248"/>
      <c r="F30" s="228"/>
      <c r="G30" s="228"/>
      <c r="H30" s="250"/>
      <c r="I30" s="229"/>
      <c r="J30" s="229"/>
      <c r="K30" s="228"/>
      <c r="L30" s="252"/>
      <c r="M30" s="228"/>
      <c r="N30" s="229"/>
      <c r="O30" s="228"/>
      <c r="P30" s="228"/>
      <c r="Q30" s="254"/>
      <c r="R30" s="286"/>
    </row>
    <row r="31" spans="1:19" ht="28.5" hidden="1" x14ac:dyDescent="0.2">
      <c r="B31" s="311"/>
      <c r="C31" s="247">
        <v>38737</v>
      </c>
      <c r="D31" s="244" t="s">
        <v>66</v>
      </c>
      <c r="E31" s="248" t="s">
        <v>36</v>
      </c>
      <c r="F31" s="228"/>
      <c r="G31" s="249">
        <v>38737</v>
      </c>
      <c r="H31" s="250" t="s">
        <v>124</v>
      </c>
      <c r="I31" s="229">
        <v>848000</v>
      </c>
      <c r="J31" s="275">
        <v>1</v>
      </c>
      <c r="K31" s="228" t="s">
        <v>125</v>
      </c>
      <c r="L31" s="252" t="s">
        <v>6</v>
      </c>
      <c r="M31" s="228" t="s">
        <v>105</v>
      </c>
      <c r="N31" s="275">
        <v>1</v>
      </c>
      <c r="O31" s="253">
        <v>0</v>
      </c>
      <c r="P31" s="253">
        <v>0</v>
      </c>
      <c r="Q31" s="254"/>
      <c r="R31" s="256" t="s">
        <v>51</v>
      </c>
    </row>
    <row r="32" spans="1:19" ht="42.75" hidden="1" x14ac:dyDescent="0.2">
      <c r="B32" s="311"/>
      <c r="C32" s="247">
        <v>42636</v>
      </c>
      <c r="D32" s="244" t="s">
        <v>37</v>
      </c>
      <c r="E32" s="248" t="s">
        <v>38</v>
      </c>
      <c r="F32" s="228"/>
      <c r="G32" s="249">
        <v>42636</v>
      </c>
      <c r="H32" s="250" t="s">
        <v>124</v>
      </c>
      <c r="I32" s="229">
        <v>1180000</v>
      </c>
      <c r="J32" s="275">
        <v>1</v>
      </c>
      <c r="K32" s="228" t="s">
        <v>74</v>
      </c>
      <c r="L32" s="252" t="s">
        <v>6</v>
      </c>
      <c r="M32" s="228" t="s">
        <v>105</v>
      </c>
      <c r="N32" s="275">
        <v>1</v>
      </c>
      <c r="O32" s="253">
        <v>0</v>
      </c>
      <c r="P32" s="253">
        <v>0</v>
      </c>
      <c r="Q32" s="254"/>
      <c r="R32" s="256" t="s">
        <v>52</v>
      </c>
    </row>
    <row r="33" spans="2:19" s="237" customFormat="1" ht="42.75" hidden="1" x14ac:dyDescent="0.25">
      <c r="B33" s="322"/>
      <c r="C33" s="287"/>
      <c r="D33" s="244" t="s">
        <v>122</v>
      </c>
      <c r="E33" s="248" t="s">
        <v>123</v>
      </c>
      <c r="G33" s="249">
        <v>44439</v>
      </c>
      <c r="H33" s="250" t="s">
        <v>124</v>
      </c>
      <c r="I33" s="229">
        <v>1397400</v>
      </c>
      <c r="J33" s="251">
        <v>1</v>
      </c>
      <c r="K33" s="228" t="s">
        <v>75</v>
      </c>
      <c r="L33" s="252" t="s">
        <v>6</v>
      </c>
      <c r="M33" s="228" t="s">
        <v>105</v>
      </c>
      <c r="N33" s="275">
        <v>1</v>
      </c>
      <c r="O33" s="253">
        <v>0</v>
      </c>
      <c r="P33" s="253">
        <v>0</v>
      </c>
      <c r="Q33" s="254"/>
      <c r="R33" s="288"/>
      <c r="S33" s="239"/>
    </row>
    <row r="34" spans="2:19" s="237" customFormat="1" ht="15" hidden="1" x14ac:dyDescent="0.25">
      <c r="B34" s="322"/>
      <c r="C34" s="262"/>
      <c r="D34" s="244"/>
      <c r="E34" s="248"/>
      <c r="F34" s="258" t="s">
        <v>82</v>
      </c>
      <c r="G34" s="228"/>
      <c r="H34" s="250"/>
      <c r="I34" s="260">
        <f>SUM(I31:I33)</f>
        <v>3425400</v>
      </c>
      <c r="J34" s="251"/>
      <c r="K34" s="228"/>
      <c r="L34" s="252"/>
      <c r="M34" s="228"/>
      <c r="N34" s="275"/>
      <c r="O34" s="258"/>
      <c r="P34" s="258"/>
      <c r="Q34" s="254"/>
      <c r="R34" s="288"/>
      <c r="S34" s="239"/>
    </row>
    <row r="35" spans="2:19" ht="15" x14ac:dyDescent="0.2">
      <c r="B35" s="241" t="s">
        <v>138</v>
      </c>
      <c r="D35" s="244"/>
      <c r="E35" s="248"/>
      <c r="F35" s="228"/>
      <c r="G35" s="228"/>
      <c r="H35" s="250"/>
      <c r="I35" s="229"/>
      <c r="J35" s="229"/>
      <c r="K35" s="228"/>
      <c r="L35" s="252"/>
      <c r="M35" s="228"/>
      <c r="N35" s="229"/>
      <c r="O35" s="253">
        <v>0</v>
      </c>
      <c r="P35" s="253">
        <v>0</v>
      </c>
      <c r="Q35" s="228"/>
      <c r="R35" s="286"/>
    </row>
    <row r="36" spans="2:19" ht="42.75" hidden="1" x14ac:dyDescent="0.2">
      <c r="B36" s="311"/>
      <c r="C36" s="274" t="s">
        <v>76</v>
      </c>
      <c r="D36" s="244" t="s">
        <v>9</v>
      </c>
      <c r="E36" s="248" t="s">
        <v>10</v>
      </c>
      <c r="F36" s="228">
        <v>2486201743</v>
      </c>
      <c r="G36" s="249">
        <v>40919</v>
      </c>
      <c r="H36" s="250" t="s">
        <v>128</v>
      </c>
      <c r="I36" s="229">
        <v>55000</v>
      </c>
      <c r="J36" s="275">
        <v>1</v>
      </c>
      <c r="K36" s="228" t="s">
        <v>19</v>
      </c>
      <c r="L36" s="252" t="s">
        <v>83</v>
      </c>
      <c r="M36" s="228" t="s">
        <v>105</v>
      </c>
      <c r="N36" s="275">
        <v>1</v>
      </c>
      <c r="O36" s="253">
        <v>0</v>
      </c>
      <c r="P36" s="253">
        <v>0</v>
      </c>
      <c r="Q36" s="254"/>
      <c r="R36" s="256" t="s">
        <v>41</v>
      </c>
    </row>
    <row r="37" spans="2:19" ht="28.5" x14ac:dyDescent="0.2">
      <c r="B37" s="311"/>
      <c r="C37" s="247">
        <v>41269</v>
      </c>
      <c r="D37" s="244" t="s">
        <v>11</v>
      </c>
      <c r="E37" s="248" t="s">
        <v>12</v>
      </c>
      <c r="F37" s="228" t="s">
        <v>13</v>
      </c>
      <c r="G37" s="249">
        <v>41269</v>
      </c>
      <c r="H37" s="250" t="s">
        <v>128</v>
      </c>
      <c r="I37" s="229">
        <v>81600</v>
      </c>
      <c r="J37" s="275">
        <v>1</v>
      </c>
      <c r="K37" s="228" t="s">
        <v>7</v>
      </c>
      <c r="L37" s="252" t="s">
        <v>14</v>
      </c>
      <c r="M37" s="228" t="s">
        <v>105</v>
      </c>
      <c r="N37" s="275">
        <v>1</v>
      </c>
      <c r="O37" s="253">
        <v>0</v>
      </c>
      <c r="P37" s="253">
        <v>0</v>
      </c>
      <c r="Q37" s="254"/>
      <c r="R37" s="256" t="s">
        <v>42</v>
      </c>
    </row>
    <row r="38" spans="2:19" ht="28.5" x14ac:dyDescent="0.2">
      <c r="B38" s="311"/>
      <c r="C38" s="247">
        <v>41269</v>
      </c>
      <c r="D38" s="244" t="s">
        <v>11</v>
      </c>
      <c r="E38" s="248" t="s">
        <v>15</v>
      </c>
      <c r="F38" s="228" t="s">
        <v>16</v>
      </c>
      <c r="G38" s="249">
        <v>41269</v>
      </c>
      <c r="H38" s="250" t="s">
        <v>128</v>
      </c>
      <c r="I38" s="229">
        <v>81600</v>
      </c>
      <c r="J38" s="275">
        <v>1</v>
      </c>
      <c r="K38" s="228" t="s">
        <v>7</v>
      </c>
      <c r="L38" s="252" t="s">
        <v>14</v>
      </c>
      <c r="M38" s="228" t="s">
        <v>105</v>
      </c>
      <c r="N38" s="275">
        <v>1</v>
      </c>
      <c r="O38" s="253">
        <v>0</v>
      </c>
      <c r="P38" s="253">
        <v>0</v>
      </c>
      <c r="Q38" s="254"/>
      <c r="R38" s="256" t="s">
        <v>43</v>
      </c>
    </row>
    <row r="39" spans="2:19" ht="28.5" hidden="1" x14ac:dyDescent="0.2">
      <c r="B39" s="311"/>
      <c r="C39" s="247">
        <v>42718</v>
      </c>
      <c r="D39" s="244" t="s">
        <v>17</v>
      </c>
      <c r="E39" s="248" t="s">
        <v>18</v>
      </c>
      <c r="F39" s="228"/>
      <c r="G39" s="249">
        <v>42718</v>
      </c>
      <c r="H39" s="250" t="s">
        <v>128</v>
      </c>
      <c r="I39" s="229">
        <v>68000</v>
      </c>
      <c r="J39" s="275">
        <v>1</v>
      </c>
      <c r="K39" s="228" t="s">
        <v>73</v>
      </c>
      <c r="L39" s="252" t="s">
        <v>109</v>
      </c>
      <c r="M39" s="228" t="s">
        <v>105</v>
      </c>
      <c r="N39" s="275">
        <v>1</v>
      </c>
      <c r="O39" s="253">
        <v>0</v>
      </c>
      <c r="P39" s="253">
        <v>0</v>
      </c>
      <c r="Q39" s="254"/>
      <c r="R39" s="256" t="s">
        <v>44</v>
      </c>
    </row>
    <row r="40" spans="2:19" ht="28.5" x14ac:dyDescent="0.2">
      <c r="B40" s="311"/>
      <c r="C40" s="247"/>
      <c r="D40" s="321" t="s">
        <v>139</v>
      </c>
      <c r="E40" s="228" t="s">
        <v>140</v>
      </c>
      <c r="F40" s="228"/>
      <c r="G40" s="249">
        <v>44656</v>
      </c>
      <c r="H40" s="250" t="s">
        <v>128</v>
      </c>
      <c r="I40" s="229">
        <v>106000</v>
      </c>
      <c r="J40" s="275">
        <v>1</v>
      </c>
      <c r="K40" s="228" t="s">
        <v>7</v>
      </c>
      <c r="L40" s="252" t="s">
        <v>141</v>
      </c>
      <c r="M40" s="228" t="s">
        <v>105</v>
      </c>
      <c r="N40" s="275">
        <v>1</v>
      </c>
      <c r="O40" s="253"/>
      <c r="P40" s="253"/>
      <c r="Q40" s="228"/>
      <c r="R40" s="256"/>
    </row>
    <row r="41" spans="2:19" s="237" customFormat="1" ht="15" hidden="1" x14ac:dyDescent="0.25">
      <c r="B41" s="272"/>
      <c r="C41" s="287"/>
      <c r="D41" s="263"/>
      <c r="E41" s="264"/>
      <c r="F41" s="258" t="s">
        <v>82</v>
      </c>
      <c r="G41" s="258"/>
      <c r="H41" s="250"/>
      <c r="I41" s="260">
        <f>SUM(I36:I40)</f>
        <v>392200</v>
      </c>
      <c r="J41" s="260"/>
      <c r="K41" s="258"/>
      <c r="L41" s="265"/>
      <c r="M41" s="258"/>
      <c r="N41" s="260"/>
      <c r="O41" s="258"/>
      <c r="P41" s="258"/>
      <c r="Q41" s="254"/>
      <c r="R41" s="288"/>
      <c r="S41" s="239"/>
    </row>
    <row r="42" spans="2:19" ht="15" hidden="1" x14ac:dyDescent="0.2">
      <c r="B42" s="261" t="s">
        <v>144</v>
      </c>
      <c r="D42" s="244"/>
      <c r="E42" s="248"/>
      <c r="F42" s="228"/>
      <c r="G42" s="228"/>
      <c r="H42" s="250"/>
      <c r="I42" s="229"/>
      <c r="J42" s="229"/>
      <c r="K42" s="228"/>
      <c r="L42" s="252"/>
      <c r="M42" s="228"/>
      <c r="N42" s="229"/>
      <c r="O42" s="228"/>
      <c r="P42" s="228"/>
      <c r="Q42" s="254"/>
      <c r="R42" s="286"/>
    </row>
    <row r="43" spans="2:19" ht="42.75" hidden="1" x14ac:dyDescent="0.2">
      <c r="B43" s="257"/>
      <c r="C43" s="274" t="s">
        <v>78</v>
      </c>
      <c r="D43" s="244" t="s">
        <v>24</v>
      </c>
      <c r="E43" s="248" t="s">
        <v>25</v>
      </c>
      <c r="F43" s="228">
        <v>1227070326</v>
      </c>
      <c r="G43" s="249">
        <v>38952</v>
      </c>
      <c r="H43" s="250" t="s">
        <v>118</v>
      </c>
      <c r="I43" s="229">
        <v>80590</v>
      </c>
      <c r="J43" s="275">
        <v>1</v>
      </c>
      <c r="K43" s="228" t="s">
        <v>73</v>
      </c>
      <c r="L43" s="252" t="s">
        <v>109</v>
      </c>
      <c r="M43" s="228" t="s">
        <v>105</v>
      </c>
      <c r="N43" s="275">
        <v>1</v>
      </c>
      <c r="O43" s="253">
        <v>0</v>
      </c>
      <c r="P43" s="253">
        <v>0</v>
      </c>
      <c r="Q43" s="254"/>
      <c r="R43" s="256" t="s">
        <v>46</v>
      </c>
    </row>
    <row r="44" spans="2:19" ht="42.75" hidden="1" x14ac:dyDescent="0.2">
      <c r="B44" s="257"/>
      <c r="C44" s="274" t="s">
        <v>79</v>
      </c>
      <c r="D44" s="244" t="s">
        <v>26</v>
      </c>
      <c r="E44" s="248" t="s">
        <v>27</v>
      </c>
      <c r="F44" s="228" t="s">
        <v>28</v>
      </c>
      <c r="G44" s="249">
        <v>39352</v>
      </c>
      <c r="H44" s="250" t="s">
        <v>118</v>
      </c>
      <c r="I44" s="229">
        <v>55000</v>
      </c>
      <c r="J44" s="275">
        <v>1</v>
      </c>
      <c r="K44" s="228" t="s">
        <v>73</v>
      </c>
      <c r="L44" s="252" t="s">
        <v>109</v>
      </c>
      <c r="M44" s="228" t="s">
        <v>105</v>
      </c>
      <c r="N44" s="275">
        <v>1</v>
      </c>
      <c r="O44" s="253">
        <v>0</v>
      </c>
      <c r="P44" s="253">
        <v>0</v>
      </c>
      <c r="Q44" s="254"/>
      <c r="R44" s="256" t="s">
        <v>47</v>
      </c>
    </row>
    <row r="45" spans="2:19" ht="42.75" hidden="1" x14ac:dyDescent="0.2">
      <c r="B45" s="257"/>
      <c r="C45" s="274" t="s">
        <v>80</v>
      </c>
      <c r="D45" s="244" t="s">
        <v>29</v>
      </c>
      <c r="E45" s="248" t="s">
        <v>30</v>
      </c>
      <c r="F45" s="228">
        <v>10050233</v>
      </c>
      <c r="G45" s="249">
        <v>40595</v>
      </c>
      <c r="H45" s="250" t="s">
        <v>118</v>
      </c>
      <c r="I45" s="229">
        <v>299500</v>
      </c>
      <c r="J45" s="275">
        <v>1</v>
      </c>
      <c r="K45" s="228" t="s">
        <v>73</v>
      </c>
      <c r="L45" s="252" t="s">
        <v>109</v>
      </c>
      <c r="M45" s="228" t="s">
        <v>105</v>
      </c>
      <c r="N45" s="275">
        <v>1</v>
      </c>
      <c r="O45" s="253">
        <v>0</v>
      </c>
      <c r="P45" s="253">
        <v>0</v>
      </c>
      <c r="Q45" s="254"/>
      <c r="R45" s="256" t="s">
        <v>48</v>
      </c>
    </row>
    <row r="46" spans="2:19" ht="28.5" hidden="1" x14ac:dyDescent="0.2">
      <c r="B46" s="257"/>
      <c r="C46" s="274" t="s">
        <v>81</v>
      </c>
      <c r="D46" s="244" t="s">
        <v>31</v>
      </c>
      <c r="E46" s="248" t="s">
        <v>32</v>
      </c>
      <c r="F46" s="228"/>
      <c r="G46" s="249">
        <v>42857</v>
      </c>
      <c r="H46" s="250" t="s">
        <v>118</v>
      </c>
      <c r="I46" s="229">
        <v>63930</v>
      </c>
      <c r="J46" s="275">
        <v>1</v>
      </c>
      <c r="K46" s="228" t="s">
        <v>73</v>
      </c>
      <c r="L46" s="252" t="s">
        <v>109</v>
      </c>
      <c r="M46" s="228" t="s">
        <v>105</v>
      </c>
      <c r="N46" s="275">
        <v>1</v>
      </c>
      <c r="O46" s="253">
        <v>0</v>
      </c>
      <c r="P46" s="253">
        <v>0</v>
      </c>
      <c r="Q46" s="254"/>
      <c r="R46" s="256" t="s">
        <v>49</v>
      </c>
    </row>
    <row r="47" spans="2:19" ht="28.5" hidden="1" x14ac:dyDescent="0.2">
      <c r="B47" s="257"/>
      <c r="C47" s="247">
        <v>41591</v>
      </c>
      <c r="D47" s="244" t="s">
        <v>33</v>
      </c>
      <c r="E47" s="248" t="s">
        <v>34</v>
      </c>
      <c r="F47" s="228" t="s">
        <v>35</v>
      </c>
      <c r="G47" s="249">
        <v>41591</v>
      </c>
      <c r="H47" s="250" t="s">
        <v>128</v>
      </c>
      <c r="I47" s="229">
        <v>248000</v>
      </c>
      <c r="J47" s="275">
        <v>1</v>
      </c>
      <c r="K47" s="228" t="s">
        <v>73</v>
      </c>
      <c r="L47" s="252" t="s">
        <v>109</v>
      </c>
      <c r="M47" s="228" t="s">
        <v>105</v>
      </c>
      <c r="N47" s="275">
        <v>1</v>
      </c>
      <c r="O47" s="253">
        <v>0</v>
      </c>
      <c r="P47" s="253">
        <v>0</v>
      </c>
      <c r="Q47" s="254"/>
      <c r="R47" s="256" t="s">
        <v>50</v>
      </c>
    </row>
    <row r="48" spans="2:19" hidden="1" x14ac:dyDescent="0.2">
      <c r="B48" s="257"/>
      <c r="C48" s="247" t="s">
        <v>87</v>
      </c>
      <c r="D48" s="244" t="s">
        <v>113</v>
      </c>
      <c r="E48" s="248" t="s">
        <v>88</v>
      </c>
      <c r="F48" s="228" t="s">
        <v>89</v>
      </c>
      <c r="G48" s="280">
        <v>44421</v>
      </c>
      <c r="H48" s="250" t="s">
        <v>128</v>
      </c>
      <c r="I48" s="229">
        <v>471744</v>
      </c>
      <c r="J48" s="275">
        <v>1</v>
      </c>
      <c r="K48" s="228" t="s">
        <v>73</v>
      </c>
      <c r="L48" s="252" t="s">
        <v>109</v>
      </c>
      <c r="M48" s="228" t="s">
        <v>105</v>
      </c>
      <c r="N48" s="275">
        <v>1</v>
      </c>
      <c r="O48" s="253">
        <v>0</v>
      </c>
      <c r="P48" s="253">
        <v>0</v>
      </c>
      <c r="Q48" s="254"/>
      <c r="R48" s="256"/>
    </row>
    <row r="49" spans="1:19" hidden="1" x14ac:dyDescent="0.2">
      <c r="B49" s="257"/>
      <c r="C49" s="247" t="s">
        <v>90</v>
      </c>
      <c r="D49" s="244" t="s">
        <v>112</v>
      </c>
      <c r="E49" s="248" t="s">
        <v>91</v>
      </c>
      <c r="F49" s="228" t="s">
        <v>92</v>
      </c>
      <c r="G49" s="290">
        <v>44524</v>
      </c>
      <c r="H49" s="250" t="s">
        <v>128</v>
      </c>
      <c r="I49" s="229">
        <v>285600</v>
      </c>
      <c r="J49" s="275">
        <v>1</v>
      </c>
      <c r="K49" s="228" t="s">
        <v>73</v>
      </c>
      <c r="L49" s="252" t="s">
        <v>109</v>
      </c>
      <c r="M49" s="228" t="s">
        <v>105</v>
      </c>
      <c r="N49" s="275">
        <v>1</v>
      </c>
      <c r="O49" s="253">
        <v>0</v>
      </c>
      <c r="P49" s="253">
        <v>0</v>
      </c>
      <c r="Q49" s="254"/>
      <c r="R49" s="256"/>
    </row>
    <row r="50" spans="1:19" s="237" customFormat="1" ht="15" hidden="1" x14ac:dyDescent="0.25">
      <c r="B50" s="272"/>
      <c r="C50" s="287"/>
      <c r="D50" s="263"/>
      <c r="E50" s="264"/>
      <c r="F50" s="258" t="s">
        <v>82</v>
      </c>
      <c r="G50" s="258"/>
      <c r="H50" s="259"/>
      <c r="I50" s="260">
        <f>SUM(I43:I49)</f>
        <v>1504364</v>
      </c>
      <c r="J50" s="260"/>
      <c r="K50" s="258"/>
      <c r="L50" s="291"/>
      <c r="M50" s="258"/>
      <c r="N50" s="260"/>
      <c r="O50" s="292"/>
      <c r="P50" s="258"/>
      <c r="Q50" s="254"/>
      <c r="R50" s="288"/>
      <c r="S50" s="239"/>
    </row>
    <row r="51" spans="1:19" ht="15" hidden="1" x14ac:dyDescent="0.2">
      <c r="B51" s="261" t="s">
        <v>142</v>
      </c>
      <c r="D51" s="244"/>
      <c r="E51" s="248"/>
      <c r="F51" s="228"/>
      <c r="G51" s="228"/>
      <c r="H51" s="250"/>
      <c r="I51" s="229"/>
      <c r="J51" s="275"/>
      <c r="K51" s="228"/>
      <c r="L51" s="252"/>
      <c r="M51" s="228"/>
      <c r="N51" s="275"/>
      <c r="O51" s="253"/>
      <c r="P51" s="253"/>
      <c r="Q51" s="254"/>
      <c r="R51" s="286"/>
    </row>
    <row r="52" spans="1:19" hidden="1" x14ac:dyDescent="0.2">
      <c r="B52" s="257"/>
      <c r="C52" s="293" t="s">
        <v>93</v>
      </c>
      <c r="D52" s="294" t="s">
        <v>94</v>
      </c>
      <c r="E52" s="295" t="s">
        <v>95</v>
      </c>
      <c r="F52" s="254"/>
      <c r="G52" s="254"/>
      <c r="H52" s="250" t="s">
        <v>128</v>
      </c>
      <c r="I52" s="296">
        <v>439700</v>
      </c>
      <c r="J52" s="275">
        <v>1</v>
      </c>
      <c r="K52" s="254" t="s">
        <v>23</v>
      </c>
      <c r="L52" s="297" t="s">
        <v>108</v>
      </c>
      <c r="M52" s="254" t="s">
        <v>107</v>
      </c>
      <c r="N52" s="275">
        <v>1</v>
      </c>
      <c r="O52" s="253">
        <v>0</v>
      </c>
      <c r="P52" s="253">
        <v>0</v>
      </c>
      <c r="Q52" s="254"/>
      <c r="R52" s="298"/>
    </row>
    <row r="53" spans="1:19" ht="15" hidden="1" x14ac:dyDescent="0.25">
      <c r="A53" s="299"/>
      <c r="B53" s="257"/>
      <c r="C53" s="300"/>
      <c r="D53" s="301"/>
      <c r="E53" s="302"/>
      <c r="F53" s="258" t="s">
        <v>82</v>
      </c>
      <c r="G53" s="258"/>
      <c r="H53" s="259"/>
      <c r="I53" s="303">
        <f>SUM(I52:I52)</f>
        <v>439700</v>
      </c>
      <c r="J53" s="303"/>
      <c r="K53" s="304"/>
      <c r="L53" s="305"/>
      <c r="M53" s="304"/>
      <c r="N53" s="303"/>
      <c r="O53" s="306"/>
      <c r="P53" s="304"/>
      <c r="Q53" s="304"/>
    </row>
    <row r="56" spans="1:19" x14ac:dyDescent="0.2">
      <c r="D56" s="227" t="s">
        <v>677</v>
      </c>
      <c r="G56" s="224"/>
      <c r="H56" s="227" t="s">
        <v>679</v>
      </c>
      <c r="L56" s="227"/>
      <c r="M56" s="224" t="s">
        <v>680</v>
      </c>
      <c r="N56" s="224"/>
      <c r="O56" s="233" t="s">
        <v>680</v>
      </c>
    </row>
    <row r="57" spans="1:19" x14ac:dyDescent="0.2">
      <c r="D57" s="227"/>
      <c r="G57" s="224"/>
      <c r="H57" s="227"/>
      <c r="L57" s="227"/>
      <c r="N57" s="224"/>
      <c r="O57" s="233"/>
    </row>
    <row r="58" spans="1:19" x14ac:dyDescent="0.2">
      <c r="D58" s="227"/>
      <c r="G58" s="224"/>
      <c r="H58" s="227"/>
      <c r="L58" s="227"/>
      <c r="N58" s="224"/>
      <c r="O58" s="233"/>
    </row>
    <row r="59" spans="1:19" ht="15" x14ac:dyDescent="0.25">
      <c r="D59" s="307" t="s">
        <v>673</v>
      </c>
      <c r="G59" s="224"/>
      <c r="H59" s="307" t="s">
        <v>85</v>
      </c>
      <c r="L59" s="307"/>
      <c r="M59" s="223"/>
      <c r="N59" s="224"/>
      <c r="O59" s="308"/>
      <c r="P59" s="309"/>
    </row>
    <row r="60" spans="1:19" x14ac:dyDescent="0.2">
      <c r="D60" s="227" t="s">
        <v>678</v>
      </c>
      <c r="G60" s="224"/>
      <c r="H60" s="227" t="s">
        <v>133</v>
      </c>
      <c r="L60" s="227"/>
      <c r="M60" s="224" t="s">
        <v>681</v>
      </c>
      <c r="N60" s="224"/>
      <c r="O60" s="233" t="s">
        <v>681</v>
      </c>
    </row>
    <row r="66" spans="3:19" s="233" customFormat="1" x14ac:dyDescent="0.2">
      <c r="C66" s="224"/>
      <c r="D66" s="224"/>
      <c r="E66" s="232"/>
      <c r="F66" s="227"/>
      <c r="G66" s="227"/>
      <c r="H66" s="226"/>
      <c r="K66" s="227"/>
      <c r="L66" s="230"/>
      <c r="M66" s="227"/>
      <c r="O66" s="227"/>
      <c r="P66" s="227"/>
      <c r="Q66" s="227"/>
      <c r="R66" s="224"/>
      <c r="S66" s="310"/>
    </row>
    <row r="67" spans="3:19" s="233" customFormat="1" x14ac:dyDescent="0.2">
      <c r="C67" s="224"/>
      <c r="D67" s="224"/>
      <c r="E67" s="232"/>
      <c r="F67" s="227"/>
      <c r="G67" s="227"/>
      <c r="H67" s="226"/>
      <c r="K67" s="227"/>
      <c r="L67" s="230"/>
      <c r="M67" s="227"/>
      <c r="O67" s="227"/>
      <c r="P67" s="227"/>
      <c r="Q67" s="227"/>
      <c r="R67" s="224"/>
      <c r="S67" s="310"/>
    </row>
  </sheetData>
  <autoFilter ref="K1:K67"/>
  <mergeCells count="19">
    <mergeCell ref="O11:P11"/>
    <mergeCell ref="Q11:Q12"/>
    <mergeCell ref="I11:I12"/>
    <mergeCell ref="J11:J12"/>
    <mergeCell ref="B11:B12"/>
    <mergeCell ref="D11:D12"/>
    <mergeCell ref="E11:E12"/>
    <mergeCell ref="F11:F12"/>
    <mergeCell ref="G11:G12"/>
    <mergeCell ref="K11:K12"/>
    <mergeCell ref="L11:L12"/>
    <mergeCell ref="M11:M12"/>
    <mergeCell ref="N11:N12"/>
    <mergeCell ref="H11:H12"/>
    <mergeCell ref="Q1:R1"/>
    <mergeCell ref="B2:Q2"/>
    <mergeCell ref="B3:Q3"/>
    <mergeCell ref="B4:Q4"/>
    <mergeCell ref="B6:Q6"/>
  </mergeCells>
  <conditionalFormatting sqref="M23 M25:M52 M19:M21 M13:M17">
    <cfRule type="cellIs" dxfId="48" priority="6" operator="equal">
      <formula>#REF!</formula>
    </cfRule>
  </conditionalFormatting>
  <conditionalFormatting sqref="E40">
    <cfRule type="duplicateValues" dxfId="47" priority="5"/>
  </conditionalFormatting>
  <conditionalFormatting sqref="M22">
    <cfRule type="cellIs" dxfId="46" priority="4" operator="equal">
      <formula>#REF!</formula>
    </cfRule>
  </conditionalFormatting>
  <conditionalFormatting sqref="M24">
    <cfRule type="cellIs" dxfId="45" priority="3" operator="equal">
      <formula>#REF!</formula>
    </cfRule>
  </conditionalFormatting>
  <conditionalFormatting sqref="M18">
    <cfRule type="cellIs" dxfId="44" priority="2" operator="equal">
      <formula>#REF!</formula>
    </cfRule>
  </conditionalFormatting>
  <conditionalFormatting sqref="E19">
    <cfRule type="duplicateValues" dxfId="43" priority="1"/>
  </conditionalFormatting>
  <hyperlinks>
    <hyperlink ref="R36" r:id="rId1"/>
    <hyperlink ref="R37" r:id="rId2"/>
    <hyperlink ref="R38" r:id="rId3"/>
    <hyperlink ref="R39" r:id="rId4"/>
    <hyperlink ref="R43" r:id="rId5"/>
    <hyperlink ref="R44" r:id="rId6"/>
    <hyperlink ref="R45" r:id="rId7"/>
    <hyperlink ref="R46" r:id="rId8"/>
    <hyperlink ref="R47" r:id="rId9"/>
    <hyperlink ref="R31" r:id="rId10"/>
    <hyperlink ref="R32" r:id="rId11"/>
    <hyperlink ref="R14" r:id="rId12"/>
    <hyperlink ref="R22" r:id="rId13"/>
  </hyperlinks>
  <printOptions horizontalCentered="1"/>
  <pageMargins left="0.11811023622047245" right="0.11811023622047245" top="0.39370078740157483" bottom="0.39370078740157483" header="0" footer="0"/>
  <pageSetup paperSize="14" scale="85" fitToWidth="0" fitToHeight="0" orientation="landscape" horizontalDpi="0" verticalDpi="0" r:id="rId14"/>
  <colBreaks count="1" manualBreakCount="1">
    <brk id="17" max="57" man="1"/>
  </colBreaks>
  <legacyDrawing r:id="rId1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7"/>
  <sheetViews>
    <sheetView showGridLines="0" view="pageBreakPreview" topLeftCell="B1" zoomScale="110" zoomScaleNormal="140" zoomScaleSheetLayoutView="110" workbookViewId="0">
      <pane ySplit="12" topLeftCell="A13" activePane="bottomLeft" state="frozen"/>
      <selection activeCell="D1" sqref="D1"/>
      <selection pane="bottomLeft" activeCell="P57" sqref="P57"/>
    </sheetView>
  </sheetViews>
  <sheetFormatPr defaultRowHeight="14.25" x14ac:dyDescent="0.2"/>
  <cols>
    <col min="1" max="1" width="4.42578125" style="224" hidden="1" customWidth="1"/>
    <col min="2" max="2" width="11.28515625" style="232" customWidth="1"/>
    <col min="3" max="3" width="10.28515625" style="224" hidden="1" customWidth="1"/>
    <col min="4" max="4" width="41.140625" style="224" customWidth="1"/>
    <col min="5" max="5" width="28.42578125" style="232" customWidth="1"/>
    <col min="6" max="6" width="9.28515625" style="227" hidden="1" customWidth="1"/>
    <col min="7" max="7" width="12.140625" style="227" hidden="1" customWidth="1"/>
    <col min="8" max="8" width="10.42578125" style="226" customWidth="1"/>
    <col min="9" max="9" width="16.7109375" style="233" customWidth="1"/>
    <col min="10" max="10" width="11.42578125" style="233" customWidth="1"/>
    <col min="11" max="11" width="29.85546875" style="227" hidden="1" customWidth="1"/>
    <col min="12" max="12" width="17.5703125" style="230" hidden="1" customWidth="1"/>
    <col min="13" max="13" width="12.5703125" style="227" hidden="1" customWidth="1"/>
    <col min="14" max="14" width="11.42578125" style="233" customWidth="1"/>
    <col min="15" max="15" width="10.7109375" style="227" customWidth="1"/>
    <col min="16" max="16" width="11" style="227" customWidth="1"/>
    <col min="17" max="17" width="17.5703125" style="227" customWidth="1"/>
    <col min="18" max="18" width="10.140625" style="224" hidden="1" customWidth="1"/>
    <col min="19" max="19" width="17.7109375" style="232" customWidth="1"/>
    <col min="20" max="16384" width="9.140625" style="224"/>
  </cols>
  <sheetData>
    <row r="1" spans="2:19" x14ac:dyDescent="0.2">
      <c r="D1" s="230"/>
      <c r="E1" s="231"/>
      <c r="I1" s="230"/>
      <c r="J1" s="230"/>
      <c r="N1" s="230"/>
      <c r="Q1" s="451" t="s">
        <v>119</v>
      </c>
      <c r="R1" s="451"/>
    </row>
    <row r="2" spans="2:19" x14ac:dyDescent="0.2">
      <c r="B2" s="452" t="s">
        <v>96</v>
      </c>
      <c r="C2" s="452"/>
      <c r="D2" s="452"/>
      <c r="E2" s="452"/>
      <c r="F2" s="452"/>
      <c r="G2" s="452"/>
      <c r="H2" s="452"/>
      <c r="I2" s="452"/>
      <c r="J2" s="452"/>
      <c r="K2" s="452"/>
      <c r="L2" s="452"/>
      <c r="M2" s="452"/>
      <c r="N2" s="452"/>
      <c r="O2" s="452"/>
      <c r="P2" s="452"/>
      <c r="Q2" s="452"/>
    </row>
    <row r="3" spans="2:19" x14ac:dyDescent="0.2">
      <c r="B3" s="452" t="s">
        <v>121</v>
      </c>
      <c r="C3" s="452"/>
      <c r="D3" s="452"/>
      <c r="E3" s="452"/>
      <c r="F3" s="452"/>
      <c r="G3" s="452"/>
      <c r="H3" s="452"/>
      <c r="I3" s="452"/>
      <c r="J3" s="452"/>
      <c r="K3" s="452"/>
      <c r="L3" s="452"/>
      <c r="M3" s="452"/>
      <c r="N3" s="452"/>
      <c r="O3" s="452"/>
      <c r="P3" s="452"/>
      <c r="Q3" s="452"/>
    </row>
    <row r="4" spans="2:19" x14ac:dyDescent="0.2">
      <c r="B4" s="452" t="s">
        <v>137</v>
      </c>
      <c r="C4" s="452"/>
      <c r="D4" s="452"/>
      <c r="E4" s="452"/>
      <c r="F4" s="452"/>
      <c r="G4" s="452"/>
      <c r="H4" s="452"/>
      <c r="I4" s="452"/>
      <c r="J4" s="452"/>
      <c r="K4" s="452"/>
      <c r="L4" s="452"/>
      <c r="M4" s="452"/>
      <c r="N4" s="452"/>
      <c r="O4" s="452"/>
      <c r="P4" s="452"/>
      <c r="Q4" s="452"/>
    </row>
    <row r="5" spans="2:19" x14ac:dyDescent="0.2">
      <c r="L5" s="234"/>
      <c r="O5" s="235"/>
      <c r="P5" s="236"/>
    </row>
    <row r="6" spans="2:19" x14ac:dyDescent="0.2">
      <c r="B6" s="452" t="s">
        <v>120</v>
      </c>
      <c r="C6" s="452"/>
      <c r="D6" s="452"/>
      <c r="E6" s="452"/>
      <c r="F6" s="452"/>
      <c r="G6" s="452"/>
      <c r="H6" s="452"/>
      <c r="I6" s="452"/>
      <c r="J6" s="452"/>
      <c r="K6" s="452"/>
      <c r="L6" s="452"/>
      <c r="M6" s="452"/>
      <c r="N6" s="452"/>
      <c r="O6" s="452"/>
      <c r="P6" s="452"/>
      <c r="Q6" s="452"/>
    </row>
    <row r="7" spans="2:19" x14ac:dyDescent="0.2">
      <c r="B7" s="324"/>
      <c r="C7" s="320"/>
      <c r="D7" s="320"/>
      <c r="E7" s="320"/>
      <c r="F7" s="320"/>
      <c r="G7" s="320"/>
      <c r="H7" s="320"/>
      <c r="I7" s="320"/>
      <c r="J7" s="320"/>
      <c r="K7" s="320"/>
      <c r="L7" s="320"/>
      <c r="M7" s="320"/>
      <c r="N7" s="320"/>
      <c r="O7" s="320"/>
      <c r="P7" s="320"/>
      <c r="Q7" s="320"/>
    </row>
    <row r="8" spans="2:19" x14ac:dyDescent="0.2">
      <c r="B8" s="232" t="s">
        <v>682</v>
      </c>
    </row>
    <row r="9" spans="2:19" x14ac:dyDescent="0.2">
      <c r="B9" s="232" t="s">
        <v>684</v>
      </c>
    </row>
    <row r="10" spans="2:19" ht="4.5" customHeight="1" x14ac:dyDescent="0.2"/>
    <row r="11" spans="2:19" s="237" customFormat="1" ht="37.5" customHeight="1" x14ac:dyDescent="0.25">
      <c r="B11" s="462" t="s">
        <v>110</v>
      </c>
      <c r="C11" s="238" t="s">
        <v>1</v>
      </c>
      <c r="D11" s="457" t="s">
        <v>97</v>
      </c>
      <c r="E11" s="462" t="s">
        <v>116</v>
      </c>
      <c r="F11" s="457" t="s">
        <v>155</v>
      </c>
      <c r="G11" s="457" t="s">
        <v>156</v>
      </c>
      <c r="H11" s="457" t="s">
        <v>136</v>
      </c>
      <c r="I11" s="453" t="s">
        <v>98</v>
      </c>
      <c r="J11" s="453" t="s">
        <v>132</v>
      </c>
      <c r="K11" s="457" t="s">
        <v>3</v>
      </c>
      <c r="L11" s="457" t="s">
        <v>2</v>
      </c>
      <c r="M11" s="457" t="s">
        <v>101</v>
      </c>
      <c r="N11" s="453" t="s">
        <v>100</v>
      </c>
      <c r="O11" s="455" t="s">
        <v>131</v>
      </c>
      <c r="P11" s="456"/>
      <c r="Q11" s="457" t="s">
        <v>99</v>
      </c>
      <c r="R11" s="238" t="s">
        <v>4</v>
      </c>
      <c r="S11" s="239"/>
    </row>
    <row r="12" spans="2:19" s="237" customFormat="1" ht="16.5" customHeight="1" x14ac:dyDescent="0.25">
      <c r="B12" s="463"/>
      <c r="C12" s="240"/>
      <c r="D12" s="458"/>
      <c r="E12" s="463"/>
      <c r="F12" s="458"/>
      <c r="G12" s="458"/>
      <c r="H12" s="458"/>
      <c r="I12" s="454"/>
      <c r="J12" s="454"/>
      <c r="K12" s="458"/>
      <c r="L12" s="458"/>
      <c r="M12" s="458"/>
      <c r="N12" s="454"/>
      <c r="O12" s="238" t="s">
        <v>130</v>
      </c>
      <c r="P12" s="238" t="s">
        <v>117</v>
      </c>
      <c r="Q12" s="458"/>
      <c r="R12" s="238"/>
      <c r="S12" s="239"/>
    </row>
    <row r="13" spans="2:19" ht="15" hidden="1" x14ac:dyDescent="0.2">
      <c r="B13" s="241" t="s">
        <v>111</v>
      </c>
      <c r="D13" s="242"/>
      <c r="E13" s="243"/>
      <c r="F13" s="244"/>
      <c r="G13" s="244"/>
      <c r="H13" s="242"/>
      <c r="I13" s="245"/>
      <c r="J13" s="245"/>
      <c r="K13" s="244"/>
      <c r="L13" s="246"/>
      <c r="M13" s="244"/>
      <c r="N13" s="245"/>
      <c r="O13" s="244"/>
      <c r="P13" s="244"/>
      <c r="Q13" s="244"/>
      <c r="R13" s="242"/>
    </row>
    <row r="14" spans="2:19" hidden="1" x14ac:dyDescent="0.2">
      <c r="B14" s="311"/>
      <c r="C14" s="247">
        <v>43462</v>
      </c>
      <c r="D14" s="244" t="s">
        <v>104</v>
      </c>
      <c r="E14" s="248" t="s">
        <v>5</v>
      </c>
      <c r="F14" s="228"/>
      <c r="G14" s="249">
        <v>43462</v>
      </c>
      <c r="H14" s="250"/>
      <c r="I14" s="229">
        <v>1782828.5</v>
      </c>
      <c r="J14" s="251">
        <v>1</v>
      </c>
      <c r="K14" s="228" t="s">
        <v>7</v>
      </c>
      <c r="L14" s="252" t="s">
        <v>103</v>
      </c>
      <c r="M14" s="228" t="s">
        <v>105</v>
      </c>
      <c r="N14" s="251">
        <v>1</v>
      </c>
      <c r="O14" s="253">
        <v>0</v>
      </c>
      <c r="P14" s="253">
        <v>0</v>
      </c>
      <c r="Q14" s="254"/>
      <c r="R14" s="255" t="s">
        <v>40</v>
      </c>
    </row>
    <row r="15" spans="2:19" hidden="1" x14ac:dyDescent="0.2">
      <c r="B15" s="311"/>
      <c r="C15" s="247">
        <v>28858</v>
      </c>
      <c r="D15" s="244" t="s">
        <v>104</v>
      </c>
      <c r="E15" s="248" t="s">
        <v>86</v>
      </c>
      <c r="F15" s="228"/>
      <c r="G15" s="249">
        <v>28915</v>
      </c>
      <c r="H15" s="250"/>
      <c r="I15" s="229">
        <v>1476980.09</v>
      </c>
      <c r="J15" s="251">
        <v>1</v>
      </c>
      <c r="K15" s="228" t="s">
        <v>7</v>
      </c>
      <c r="L15" s="252" t="s">
        <v>103</v>
      </c>
      <c r="M15" s="228" t="s">
        <v>105</v>
      </c>
      <c r="N15" s="251">
        <v>1</v>
      </c>
      <c r="O15" s="253">
        <v>0</v>
      </c>
      <c r="P15" s="253">
        <v>0</v>
      </c>
      <c r="Q15" s="254"/>
      <c r="R15" s="256"/>
    </row>
    <row r="16" spans="2:19" ht="15" hidden="1" x14ac:dyDescent="0.2">
      <c r="B16" s="311"/>
      <c r="C16" s="247"/>
      <c r="D16" s="244"/>
      <c r="E16" s="248"/>
      <c r="F16" s="258" t="s">
        <v>82</v>
      </c>
      <c r="G16" s="258"/>
      <c r="H16" s="259"/>
      <c r="I16" s="260">
        <f>SUM(I14:I15)</f>
        <v>3259808.59</v>
      </c>
      <c r="J16" s="260"/>
      <c r="K16" s="228"/>
      <c r="L16" s="252"/>
      <c r="M16" s="228"/>
      <c r="N16" s="260"/>
      <c r="O16" s="228"/>
      <c r="P16" s="228"/>
      <c r="Q16" s="254"/>
      <c r="R16" s="256"/>
    </row>
    <row r="17" spans="1:19" s="237" customFormat="1" ht="15" hidden="1" x14ac:dyDescent="0.25">
      <c r="B17" s="241" t="s">
        <v>149</v>
      </c>
      <c r="C17" s="262"/>
      <c r="D17" s="263"/>
      <c r="E17" s="264"/>
      <c r="F17" s="258"/>
      <c r="G17" s="258"/>
      <c r="H17" s="250"/>
      <c r="I17" s="260"/>
      <c r="J17" s="260"/>
      <c r="K17" s="258"/>
      <c r="L17" s="265"/>
      <c r="M17" s="258"/>
      <c r="N17" s="260"/>
      <c r="O17" s="258"/>
      <c r="P17" s="258"/>
      <c r="Q17" s="254"/>
      <c r="R17" s="266"/>
      <c r="S17" s="239"/>
    </row>
    <row r="18" spans="1:19" s="237" customFormat="1" ht="28.5" hidden="1" x14ac:dyDescent="0.25">
      <c r="B18" s="241"/>
      <c r="C18" s="262"/>
      <c r="D18" s="267" t="s">
        <v>150</v>
      </c>
      <c r="E18" s="268" t="s">
        <v>151</v>
      </c>
      <c r="F18" s="258"/>
      <c r="G18" s="258"/>
      <c r="H18" s="250" t="s">
        <v>152</v>
      </c>
      <c r="I18" s="269">
        <v>62994.75</v>
      </c>
      <c r="J18" s="251">
        <v>1</v>
      </c>
      <c r="K18" s="228" t="s">
        <v>84</v>
      </c>
      <c r="L18" s="252" t="s">
        <v>8</v>
      </c>
      <c r="M18" s="228" t="s">
        <v>106</v>
      </c>
      <c r="N18" s="251">
        <v>1</v>
      </c>
      <c r="O18" s="253">
        <v>0</v>
      </c>
      <c r="P18" s="253">
        <v>0</v>
      </c>
      <c r="Q18" s="270" t="s">
        <v>134</v>
      </c>
      <c r="R18" s="266"/>
      <c r="S18" s="239"/>
    </row>
    <row r="19" spans="1:19" s="237" customFormat="1" ht="71.25" hidden="1" x14ac:dyDescent="0.25">
      <c r="B19" s="241"/>
      <c r="C19" s="262"/>
      <c r="D19" s="244" t="s">
        <v>154</v>
      </c>
      <c r="E19" s="228" t="s">
        <v>158</v>
      </c>
      <c r="F19" s="258"/>
      <c r="G19" s="249">
        <v>44564</v>
      </c>
      <c r="H19" s="250" t="s">
        <v>128</v>
      </c>
      <c r="I19" s="271">
        <v>305103.38</v>
      </c>
      <c r="J19" s="251">
        <v>1</v>
      </c>
      <c r="K19" s="228" t="s">
        <v>7</v>
      </c>
      <c r="L19" s="252" t="s">
        <v>6</v>
      </c>
      <c r="M19" s="228" t="s">
        <v>105</v>
      </c>
      <c r="N19" s="251">
        <v>1</v>
      </c>
      <c r="O19" s="253">
        <v>0</v>
      </c>
      <c r="P19" s="253">
        <v>0</v>
      </c>
      <c r="Q19" s="254"/>
      <c r="R19" s="266"/>
      <c r="S19" s="239"/>
    </row>
    <row r="20" spans="1:19" s="237" customFormat="1" ht="15" hidden="1" x14ac:dyDescent="0.25">
      <c r="B20" s="322"/>
      <c r="C20" s="262"/>
      <c r="D20" s="263"/>
      <c r="E20" s="264"/>
      <c r="F20" s="258" t="s">
        <v>82</v>
      </c>
      <c r="G20" s="258"/>
      <c r="H20" s="250"/>
      <c r="I20" s="260">
        <f>SUM(I18:I19)</f>
        <v>368098.13</v>
      </c>
      <c r="J20" s="260"/>
      <c r="K20" s="258"/>
      <c r="L20" s="265"/>
      <c r="M20" s="258"/>
      <c r="N20" s="260"/>
      <c r="O20" s="258"/>
      <c r="P20" s="258"/>
      <c r="Q20" s="254"/>
      <c r="R20" s="266"/>
      <c r="S20" s="239"/>
    </row>
    <row r="21" spans="1:19" ht="15" hidden="1" x14ac:dyDescent="0.2">
      <c r="B21" s="241" t="s">
        <v>146</v>
      </c>
      <c r="D21" s="244"/>
      <c r="E21" s="248"/>
      <c r="F21" s="228"/>
      <c r="G21" s="228"/>
      <c r="H21" s="250"/>
      <c r="I21" s="229"/>
      <c r="J21" s="229"/>
      <c r="K21" s="228"/>
      <c r="L21" s="252"/>
      <c r="M21" s="228"/>
      <c r="N21" s="229"/>
      <c r="O21" s="228"/>
      <c r="P21" s="228"/>
      <c r="Q21" s="270"/>
      <c r="R21" s="273"/>
    </row>
    <row r="22" spans="1:19" ht="28.5" hidden="1" x14ac:dyDescent="0.2">
      <c r="B22" s="311"/>
      <c r="C22" s="274" t="s">
        <v>77</v>
      </c>
      <c r="D22" s="244" t="s">
        <v>20</v>
      </c>
      <c r="E22" s="248" t="s">
        <v>21</v>
      </c>
      <c r="F22" s="228" t="s">
        <v>22</v>
      </c>
      <c r="G22" s="249">
        <v>39086</v>
      </c>
      <c r="H22" s="250" t="s">
        <v>118</v>
      </c>
      <c r="I22" s="229">
        <v>244431.05</v>
      </c>
      <c r="J22" s="275">
        <v>1</v>
      </c>
      <c r="K22" s="228" t="s">
        <v>84</v>
      </c>
      <c r="L22" s="252" t="s">
        <v>8</v>
      </c>
      <c r="M22" s="228" t="s">
        <v>106</v>
      </c>
      <c r="N22" s="275">
        <v>1</v>
      </c>
      <c r="O22" s="253">
        <v>0</v>
      </c>
      <c r="P22" s="253">
        <v>0</v>
      </c>
      <c r="Q22" s="270" t="s">
        <v>135</v>
      </c>
      <c r="R22" s="276" t="s">
        <v>45</v>
      </c>
    </row>
    <row r="23" spans="1:19" s="277" customFormat="1" ht="57" hidden="1" x14ac:dyDescent="0.25">
      <c r="B23" s="323"/>
      <c r="C23" s="261"/>
      <c r="D23" s="244" t="s">
        <v>126</v>
      </c>
      <c r="E23" s="278" t="s">
        <v>127</v>
      </c>
      <c r="F23" s="279" t="s">
        <v>157</v>
      </c>
      <c r="G23" s="280">
        <v>44883</v>
      </c>
      <c r="H23" s="250" t="s">
        <v>128</v>
      </c>
      <c r="I23" s="229">
        <v>56400</v>
      </c>
      <c r="J23" s="275">
        <v>1</v>
      </c>
      <c r="K23" s="228" t="s">
        <v>85</v>
      </c>
      <c r="L23" s="281" t="s">
        <v>129</v>
      </c>
      <c r="M23" s="228" t="s">
        <v>105</v>
      </c>
      <c r="N23" s="275">
        <v>1</v>
      </c>
      <c r="O23" s="253">
        <v>0</v>
      </c>
      <c r="P23" s="253">
        <v>0</v>
      </c>
      <c r="Q23" s="254"/>
      <c r="R23" s="273"/>
      <c r="S23" s="282"/>
    </row>
    <row r="24" spans="1:19" s="277" customFormat="1" ht="28.5" hidden="1" x14ac:dyDescent="0.25">
      <c r="B24" s="323"/>
      <c r="C24" s="261"/>
      <c r="D24" s="267" t="s">
        <v>147</v>
      </c>
      <c r="E24" s="268" t="s">
        <v>148</v>
      </c>
      <c r="F24" s="228"/>
      <c r="G24" s="249">
        <v>38513</v>
      </c>
      <c r="H24" s="250" t="s">
        <v>128</v>
      </c>
      <c r="I24" s="283">
        <v>53665</v>
      </c>
      <c r="J24" s="275">
        <v>1</v>
      </c>
      <c r="K24" s="228" t="s">
        <v>84</v>
      </c>
      <c r="L24" s="252" t="s">
        <v>8</v>
      </c>
      <c r="M24" s="228" t="s">
        <v>106</v>
      </c>
      <c r="N24" s="275">
        <v>1</v>
      </c>
      <c r="O24" s="253">
        <v>0</v>
      </c>
      <c r="P24" s="253">
        <v>0</v>
      </c>
      <c r="Q24" s="270" t="s">
        <v>134</v>
      </c>
      <c r="R24" s="273"/>
      <c r="S24" s="282"/>
    </row>
    <row r="25" spans="1:19" ht="15" hidden="1" x14ac:dyDescent="0.2">
      <c r="B25" s="311"/>
      <c r="C25" s="247"/>
      <c r="D25" s="244"/>
      <c r="E25" s="248"/>
      <c r="F25" s="258" t="s">
        <v>82</v>
      </c>
      <c r="G25" s="258"/>
      <c r="H25" s="259"/>
      <c r="I25" s="260">
        <f>SUM(I22:I24)</f>
        <v>354496.05</v>
      </c>
      <c r="J25" s="260"/>
      <c r="K25" s="228"/>
      <c r="L25" s="284"/>
      <c r="M25" s="228"/>
      <c r="N25" s="260"/>
      <c r="O25" s="285"/>
      <c r="P25" s="228"/>
      <c r="Q25" s="254"/>
      <c r="R25" s="256"/>
    </row>
    <row r="26" spans="1:19" ht="15" hidden="1" x14ac:dyDescent="0.2">
      <c r="B26" s="241" t="s">
        <v>39</v>
      </c>
      <c r="D26" s="244"/>
      <c r="E26" s="248"/>
      <c r="F26" s="228"/>
      <c r="G26" s="228"/>
      <c r="H26" s="250"/>
      <c r="I26" s="229"/>
      <c r="J26" s="229"/>
      <c r="K26" s="228"/>
      <c r="L26" s="252"/>
      <c r="M26" s="228"/>
      <c r="N26" s="229"/>
      <c r="O26" s="228"/>
      <c r="P26" s="228"/>
      <c r="Q26" s="254"/>
      <c r="R26" s="286"/>
    </row>
    <row r="27" spans="1:19" hidden="1" x14ac:dyDescent="0.2">
      <c r="B27" s="311"/>
      <c r="C27" s="274"/>
      <c r="D27" s="244" t="s">
        <v>114</v>
      </c>
      <c r="E27" s="248" t="s">
        <v>115</v>
      </c>
      <c r="F27" s="228"/>
      <c r="G27" s="228"/>
      <c r="H27" s="250" t="s">
        <v>128</v>
      </c>
      <c r="I27" s="229">
        <v>99971.58</v>
      </c>
      <c r="J27" s="275">
        <v>1</v>
      </c>
      <c r="K27" s="228" t="s">
        <v>7</v>
      </c>
      <c r="L27" s="252" t="s">
        <v>14</v>
      </c>
      <c r="M27" s="228" t="s">
        <v>105</v>
      </c>
      <c r="N27" s="275">
        <v>1</v>
      </c>
      <c r="O27" s="253">
        <v>0</v>
      </c>
      <c r="P27" s="253">
        <v>0</v>
      </c>
      <c r="Q27" s="254"/>
      <c r="R27" s="256"/>
    </row>
    <row r="28" spans="1:19" ht="28.5" hidden="1" x14ac:dyDescent="0.2">
      <c r="B28" s="311"/>
      <c r="C28" s="274"/>
      <c r="D28" s="267" t="str">
        <f>UPPER("12 seater T-shape Conference Table")</f>
        <v>12 SEATER T-SHAPE CONFERENCE TABLE</v>
      </c>
      <c r="E28" s="268" t="s">
        <v>145</v>
      </c>
      <c r="F28" s="228"/>
      <c r="G28" s="249">
        <v>44208</v>
      </c>
      <c r="H28" s="250" t="s">
        <v>128</v>
      </c>
      <c r="I28" s="229">
        <v>97500</v>
      </c>
      <c r="J28" s="275">
        <v>1</v>
      </c>
      <c r="K28" s="228" t="s">
        <v>7</v>
      </c>
      <c r="L28" s="252" t="s">
        <v>153</v>
      </c>
      <c r="M28" s="228" t="s">
        <v>105</v>
      </c>
      <c r="N28" s="275"/>
      <c r="O28" s="253"/>
      <c r="P28" s="253"/>
      <c r="Q28" s="254"/>
      <c r="R28" s="256"/>
    </row>
    <row r="29" spans="1:19" ht="15" hidden="1" x14ac:dyDescent="0.2">
      <c r="B29" s="311"/>
      <c r="C29" s="274"/>
      <c r="D29" s="244"/>
      <c r="E29" s="248"/>
      <c r="F29" s="258" t="s">
        <v>82</v>
      </c>
      <c r="G29" s="258"/>
      <c r="H29" s="259"/>
      <c r="I29" s="260">
        <f>SUM(I27:I28)</f>
        <v>197471.58000000002</v>
      </c>
      <c r="J29" s="260"/>
      <c r="K29" s="228"/>
      <c r="L29" s="284"/>
      <c r="M29" s="228"/>
      <c r="N29" s="260"/>
      <c r="O29" s="285"/>
      <c r="P29" s="228"/>
      <c r="Q29" s="254"/>
      <c r="R29" s="256"/>
    </row>
    <row r="30" spans="1:19" ht="15" hidden="1" x14ac:dyDescent="0.2">
      <c r="A30" s="224">
        <v>8</v>
      </c>
      <c r="B30" s="241" t="s">
        <v>143</v>
      </c>
      <c r="D30" s="244"/>
      <c r="E30" s="248"/>
      <c r="F30" s="228"/>
      <c r="G30" s="228"/>
      <c r="H30" s="250"/>
      <c r="I30" s="229"/>
      <c r="J30" s="229"/>
      <c r="K30" s="228"/>
      <c r="L30" s="252"/>
      <c r="M30" s="228"/>
      <c r="N30" s="229"/>
      <c r="O30" s="228"/>
      <c r="P30" s="228"/>
      <c r="Q30" s="254"/>
      <c r="R30" s="286"/>
    </row>
    <row r="31" spans="1:19" ht="28.5" hidden="1" x14ac:dyDescent="0.2">
      <c r="B31" s="311"/>
      <c r="C31" s="247">
        <v>38737</v>
      </c>
      <c r="D31" s="244" t="s">
        <v>66</v>
      </c>
      <c r="E31" s="248" t="s">
        <v>36</v>
      </c>
      <c r="F31" s="228"/>
      <c r="G31" s="249">
        <v>38737</v>
      </c>
      <c r="H31" s="250" t="s">
        <v>124</v>
      </c>
      <c r="I31" s="229">
        <v>848000</v>
      </c>
      <c r="J31" s="275">
        <v>1</v>
      </c>
      <c r="K31" s="228" t="s">
        <v>125</v>
      </c>
      <c r="L31" s="252" t="s">
        <v>6</v>
      </c>
      <c r="M31" s="228" t="s">
        <v>105</v>
      </c>
      <c r="N31" s="275">
        <v>1</v>
      </c>
      <c r="O31" s="253">
        <v>0</v>
      </c>
      <c r="P31" s="253">
        <v>0</v>
      </c>
      <c r="Q31" s="254"/>
      <c r="R31" s="256" t="s">
        <v>51</v>
      </c>
    </row>
    <row r="32" spans="1:19" ht="42.75" hidden="1" x14ac:dyDescent="0.2">
      <c r="B32" s="311"/>
      <c r="C32" s="247">
        <v>42636</v>
      </c>
      <c r="D32" s="244" t="s">
        <v>37</v>
      </c>
      <c r="E32" s="248" t="s">
        <v>38</v>
      </c>
      <c r="F32" s="228"/>
      <c r="G32" s="249">
        <v>42636</v>
      </c>
      <c r="H32" s="250" t="s">
        <v>124</v>
      </c>
      <c r="I32" s="229">
        <v>1180000</v>
      </c>
      <c r="J32" s="275">
        <v>1</v>
      </c>
      <c r="K32" s="228" t="s">
        <v>74</v>
      </c>
      <c r="L32" s="252" t="s">
        <v>6</v>
      </c>
      <c r="M32" s="228" t="s">
        <v>105</v>
      </c>
      <c r="N32" s="275">
        <v>1</v>
      </c>
      <c r="O32" s="253">
        <v>0</v>
      </c>
      <c r="P32" s="253">
        <v>0</v>
      </c>
      <c r="Q32" s="254"/>
      <c r="R32" s="256" t="s">
        <v>52</v>
      </c>
    </row>
    <row r="33" spans="2:19" s="237" customFormat="1" ht="42.75" hidden="1" x14ac:dyDescent="0.25">
      <c r="B33" s="322"/>
      <c r="C33" s="287"/>
      <c r="D33" s="244" t="s">
        <v>122</v>
      </c>
      <c r="E33" s="248" t="s">
        <v>123</v>
      </c>
      <c r="G33" s="249">
        <v>44439</v>
      </c>
      <c r="H33" s="250" t="s">
        <v>124</v>
      </c>
      <c r="I33" s="229">
        <v>1397400</v>
      </c>
      <c r="J33" s="251">
        <v>1</v>
      </c>
      <c r="K33" s="228" t="s">
        <v>75</v>
      </c>
      <c r="L33" s="252" t="s">
        <v>6</v>
      </c>
      <c r="M33" s="228" t="s">
        <v>105</v>
      </c>
      <c r="N33" s="275">
        <v>1</v>
      </c>
      <c r="O33" s="253">
        <v>0</v>
      </c>
      <c r="P33" s="253">
        <v>0</v>
      </c>
      <c r="Q33" s="254"/>
      <c r="R33" s="288"/>
      <c r="S33" s="239"/>
    </row>
    <row r="34" spans="2:19" s="237" customFormat="1" ht="15" hidden="1" x14ac:dyDescent="0.25">
      <c r="B34" s="322"/>
      <c r="C34" s="262"/>
      <c r="D34" s="244"/>
      <c r="E34" s="248"/>
      <c r="F34" s="258" t="s">
        <v>82</v>
      </c>
      <c r="G34" s="228"/>
      <c r="H34" s="250"/>
      <c r="I34" s="260">
        <f>SUM(I31:I33)</f>
        <v>3425400</v>
      </c>
      <c r="J34" s="251"/>
      <c r="K34" s="228"/>
      <c r="L34" s="252"/>
      <c r="M34" s="228"/>
      <c r="N34" s="275"/>
      <c r="O34" s="258"/>
      <c r="P34" s="258"/>
      <c r="Q34" s="254"/>
      <c r="R34" s="288"/>
      <c r="S34" s="239"/>
    </row>
    <row r="35" spans="2:19" ht="15" x14ac:dyDescent="0.2">
      <c r="B35" s="241" t="s">
        <v>138</v>
      </c>
      <c r="D35" s="244"/>
      <c r="E35" s="248"/>
      <c r="F35" s="228"/>
      <c r="G35" s="228"/>
      <c r="H35" s="250"/>
      <c r="I35" s="229"/>
      <c r="J35" s="229"/>
      <c r="K35" s="228"/>
      <c r="L35" s="252"/>
      <c r="M35" s="228"/>
      <c r="N35" s="229"/>
      <c r="O35" s="253">
        <v>0</v>
      </c>
      <c r="P35" s="253">
        <v>0</v>
      </c>
      <c r="Q35" s="228"/>
      <c r="R35" s="286"/>
    </row>
    <row r="36" spans="2:19" ht="42.75" hidden="1" x14ac:dyDescent="0.2">
      <c r="B36" s="311"/>
      <c r="C36" s="274" t="s">
        <v>76</v>
      </c>
      <c r="D36" s="244" t="s">
        <v>9</v>
      </c>
      <c r="E36" s="248" t="s">
        <v>10</v>
      </c>
      <c r="F36" s="228">
        <v>2486201743</v>
      </c>
      <c r="G36" s="249">
        <v>40919</v>
      </c>
      <c r="H36" s="250" t="s">
        <v>128</v>
      </c>
      <c r="I36" s="229">
        <v>55000</v>
      </c>
      <c r="J36" s="275">
        <v>1</v>
      </c>
      <c r="K36" s="228" t="s">
        <v>19</v>
      </c>
      <c r="L36" s="252" t="s">
        <v>83</v>
      </c>
      <c r="M36" s="228" t="s">
        <v>105</v>
      </c>
      <c r="N36" s="275">
        <v>1</v>
      </c>
      <c r="O36" s="253">
        <v>0</v>
      </c>
      <c r="P36" s="253">
        <v>0</v>
      </c>
      <c r="Q36" s="254"/>
      <c r="R36" s="256" t="s">
        <v>41</v>
      </c>
    </row>
    <row r="37" spans="2:19" ht="28.5" hidden="1" x14ac:dyDescent="0.2">
      <c r="B37" s="311"/>
      <c r="C37" s="247">
        <v>41269</v>
      </c>
      <c r="D37" s="244" t="s">
        <v>11</v>
      </c>
      <c r="E37" s="248" t="s">
        <v>12</v>
      </c>
      <c r="F37" s="228" t="s">
        <v>13</v>
      </c>
      <c r="G37" s="249">
        <v>41269</v>
      </c>
      <c r="H37" s="250" t="s">
        <v>128</v>
      </c>
      <c r="I37" s="229">
        <v>81600</v>
      </c>
      <c r="J37" s="275">
        <v>1</v>
      </c>
      <c r="K37" s="228" t="s">
        <v>7</v>
      </c>
      <c r="L37" s="252" t="s">
        <v>14</v>
      </c>
      <c r="M37" s="228" t="s">
        <v>105</v>
      </c>
      <c r="N37" s="275">
        <v>1</v>
      </c>
      <c r="O37" s="253">
        <v>0</v>
      </c>
      <c r="P37" s="253">
        <v>0</v>
      </c>
      <c r="Q37" s="254"/>
      <c r="R37" s="256" t="s">
        <v>42</v>
      </c>
    </row>
    <row r="38" spans="2:19" ht="28.5" hidden="1" x14ac:dyDescent="0.2">
      <c r="B38" s="311"/>
      <c r="C38" s="247">
        <v>41269</v>
      </c>
      <c r="D38" s="244" t="s">
        <v>11</v>
      </c>
      <c r="E38" s="248" t="s">
        <v>15</v>
      </c>
      <c r="F38" s="228" t="s">
        <v>16</v>
      </c>
      <c r="G38" s="249">
        <v>41269</v>
      </c>
      <c r="H38" s="250" t="s">
        <v>128</v>
      </c>
      <c r="I38" s="229">
        <v>81600</v>
      </c>
      <c r="J38" s="275">
        <v>1</v>
      </c>
      <c r="K38" s="228" t="s">
        <v>7</v>
      </c>
      <c r="L38" s="252" t="s">
        <v>14</v>
      </c>
      <c r="M38" s="228" t="s">
        <v>105</v>
      </c>
      <c r="N38" s="275">
        <v>1</v>
      </c>
      <c r="O38" s="253">
        <v>0</v>
      </c>
      <c r="P38" s="253">
        <v>0</v>
      </c>
      <c r="Q38" s="254"/>
      <c r="R38" s="256" t="s">
        <v>43</v>
      </c>
    </row>
    <row r="39" spans="2:19" ht="28.5" x14ac:dyDescent="0.2">
      <c r="B39" s="311"/>
      <c r="C39" s="247">
        <v>42718</v>
      </c>
      <c r="D39" s="244" t="s">
        <v>17</v>
      </c>
      <c r="E39" s="248" t="s">
        <v>18</v>
      </c>
      <c r="F39" s="228"/>
      <c r="G39" s="249">
        <v>42718</v>
      </c>
      <c r="H39" s="250" t="s">
        <v>128</v>
      </c>
      <c r="I39" s="229">
        <v>68000</v>
      </c>
      <c r="J39" s="275">
        <v>1</v>
      </c>
      <c r="K39" s="228" t="s">
        <v>73</v>
      </c>
      <c r="L39" s="252" t="s">
        <v>109</v>
      </c>
      <c r="M39" s="228" t="s">
        <v>105</v>
      </c>
      <c r="N39" s="275">
        <v>1</v>
      </c>
      <c r="O39" s="253">
        <v>0</v>
      </c>
      <c r="P39" s="253">
        <v>0</v>
      </c>
      <c r="Q39" s="254"/>
      <c r="R39" s="256" t="s">
        <v>44</v>
      </c>
    </row>
    <row r="40" spans="2:19" ht="28.5" hidden="1" x14ac:dyDescent="0.2">
      <c r="B40" s="311"/>
      <c r="C40" s="247"/>
      <c r="D40" s="289" t="s">
        <v>139</v>
      </c>
      <c r="E40" s="228" t="s">
        <v>140</v>
      </c>
      <c r="F40" s="228"/>
      <c r="G40" s="249">
        <v>44656</v>
      </c>
      <c r="H40" s="250" t="s">
        <v>128</v>
      </c>
      <c r="I40" s="229">
        <v>106000</v>
      </c>
      <c r="J40" s="275">
        <v>1</v>
      </c>
      <c r="K40" s="228" t="s">
        <v>7</v>
      </c>
      <c r="L40" s="252" t="s">
        <v>141</v>
      </c>
      <c r="M40" s="228" t="s">
        <v>105</v>
      </c>
      <c r="N40" s="275">
        <v>1</v>
      </c>
      <c r="O40" s="253"/>
      <c r="P40" s="253"/>
      <c r="Q40" s="254"/>
      <c r="R40" s="256"/>
    </row>
    <row r="41" spans="2:19" s="237" customFormat="1" ht="15" hidden="1" x14ac:dyDescent="0.25">
      <c r="B41" s="322"/>
      <c r="C41" s="287"/>
      <c r="D41" s="263"/>
      <c r="E41" s="264"/>
      <c r="F41" s="258" t="s">
        <v>82</v>
      </c>
      <c r="G41" s="258"/>
      <c r="H41" s="250"/>
      <c r="I41" s="260">
        <f>SUM(I36:I40)</f>
        <v>392200</v>
      </c>
      <c r="J41" s="260"/>
      <c r="K41" s="258"/>
      <c r="L41" s="265"/>
      <c r="M41" s="258"/>
      <c r="N41" s="260"/>
      <c r="O41" s="258"/>
      <c r="P41" s="258"/>
      <c r="Q41" s="254"/>
      <c r="R41" s="288"/>
      <c r="S41" s="239"/>
    </row>
    <row r="42" spans="2:19" ht="15" x14ac:dyDescent="0.2">
      <c r="B42" s="241" t="s">
        <v>144</v>
      </c>
      <c r="D42" s="244"/>
      <c r="E42" s="248"/>
      <c r="F42" s="228"/>
      <c r="G42" s="228"/>
      <c r="H42" s="250"/>
      <c r="I42" s="229"/>
      <c r="J42" s="229"/>
      <c r="K42" s="228"/>
      <c r="L42" s="252"/>
      <c r="M42" s="228"/>
      <c r="N42" s="229"/>
      <c r="O42" s="228"/>
      <c r="P42" s="228"/>
      <c r="Q42" s="254"/>
      <c r="R42" s="286"/>
    </row>
    <row r="43" spans="2:19" ht="42.75" x14ac:dyDescent="0.2">
      <c r="B43" s="311"/>
      <c r="C43" s="274" t="s">
        <v>78</v>
      </c>
      <c r="D43" s="244" t="s">
        <v>24</v>
      </c>
      <c r="E43" s="248" t="s">
        <v>25</v>
      </c>
      <c r="F43" s="228">
        <v>1227070326</v>
      </c>
      <c r="G43" s="249">
        <v>38952</v>
      </c>
      <c r="H43" s="250" t="s">
        <v>118</v>
      </c>
      <c r="I43" s="229">
        <v>80590</v>
      </c>
      <c r="J43" s="275">
        <v>1</v>
      </c>
      <c r="K43" s="228" t="s">
        <v>73</v>
      </c>
      <c r="L43" s="252" t="s">
        <v>109</v>
      </c>
      <c r="M43" s="228" t="s">
        <v>105</v>
      </c>
      <c r="N43" s="275">
        <v>1</v>
      </c>
      <c r="O43" s="253">
        <v>0</v>
      </c>
      <c r="P43" s="253">
        <v>0</v>
      </c>
      <c r="Q43" s="254"/>
      <c r="R43" s="256" t="s">
        <v>46</v>
      </c>
    </row>
    <row r="44" spans="2:19" ht="42.75" x14ac:dyDescent="0.2">
      <c r="B44" s="311"/>
      <c r="C44" s="274" t="s">
        <v>79</v>
      </c>
      <c r="D44" s="244" t="s">
        <v>26</v>
      </c>
      <c r="E44" s="248" t="s">
        <v>27</v>
      </c>
      <c r="F44" s="228" t="s">
        <v>28</v>
      </c>
      <c r="G44" s="249">
        <v>39352</v>
      </c>
      <c r="H44" s="250" t="s">
        <v>118</v>
      </c>
      <c r="I44" s="229">
        <v>55000</v>
      </c>
      <c r="J44" s="275">
        <v>1</v>
      </c>
      <c r="K44" s="228" t="s">
        <v>73</v>
      </c>
      <c r="L44" s="252" t="s">
        <v>109</v>
      </c>
      <c r="M44" s="228" t="s">
        <v>105</v>
      </c>
      <c r="N44" s="275">
        <v>1</v>
      </c>
      <c r="O44" s="253">
        <v>0</v>
      </c>
      <c r="P44" s="253">
        <v>0</v>
      </c>
      <c r="Q44" s="254"/>
      <c r="R44" s="256" t="s">
        <v>47</v>
      </c>
    </row>
    <row r="45" spans="2:19" ht="42.75" x14ac:dyDescent="0.2">
      <c r="B45" s="311"/>
      <c r="C45" s="274" t="s">
        <v>80</v>
      </c>
      <c r="D45" s="244" t="s">
        <v>29</v>
      </c>
      <c r="E45" s="248" t="s">
        <v>30</v>
      </c>
      <c r="F45" s="228">
        <v>10050233</v>
      </c>
      <c r="G45" s="249">
        <v>40595</v>
      </c>
      <c r="H45" s="250" t="s">
        <v>118</v>
      </c>
      <c r="I45" s="229">
        <v>299500</v>
      </c>
      <c r="J45" s="275">
        <v>1</v>
      </c>
      <c r="K45" s="228" t="s">
        <v>73</v>
      </c>
      <c r="L45" s="252" t="s">
        <v>109</v>
      </c>
      <c r="M45" s="228" t="s">
        <v>105</v>
      </c>
      <c r="N45" s="275">
        <v>1</v>
      </c>
      <c r="O45" s="253">
        <v>0</v>
      </c>
      <c r="P45" s="253">
        <v>0</v>
      </c>
      <c r="Q45" s="254"/>
      <c r="R45" s="256" t="s">
        <v>48</v>
      </c>
    </row>
    <row r="46" spans="2:19" ht="28.5" x14ac:dyDescent="0.2">
      <c r="B46" s="311"/>
      <c r="C46" s="274" t="s">
        <v>81</v>
      </c>
      <c r="D46" s="244" t="s">
        <v>31</v>
      </c>
      <c r="E46" s="248" t="s">
        <v>32</v>
      </c>
      <c r="F46" s="228"/>
      <c r="G46" s="249">
        <v>42857</v>
      </c>
      <c r="H46" s="250" t="s">
        <v>118</v>
      </c>
      <c r="I46" s="229">
        <v>63930</v>
      </c>
      <c r="J46" s="275">
        <v>1</v>
      </c>
      <c r="K46" s="228" t="s">
        <v>73</v>
      </c>
      <c r="L46" s="252" t="s">
        <v>109</v>
      </c>
      <c r="M46" s="228" t="s">
        <v>105</v>
      </c>
      <c r="N46" s="275">
        <v>1</v>
      </c>
      <c r="O46" s="253">
        <v>0</v>
      </c>
      <c r="P46" s="253">
        <v>0</v>
      </c>
      <c r="Q46" s="254"/>
      <c r="R46" s="256" t="s">
        <v>49</v>
      </c>
    </row>
    <row r="47" spans="2:19" ht="28.5" x14ac:dyDescent="0.2">
      <c r="B47" s="311"/>
      <c r="C47" s="247">
        <v>41591</v>
      </c>
      <c r="D47" s="244" t="s">
        <v>33</v>
      </c>
      <c r="E47" s="248" t="s">
        <v>34</v>
      </c>
      <c r="F47" s="228" t="s">
        <v>35</v>
      </c>
      <c r="G47" s="249">
        <v>41591</v>
      </c>
      <c r="H47" s="250" t="s">
        <v>128</v>
      </c>
      <c r="I47" s="229">
        <v>248000</v>
      </c>
      <c r="J47" s="275">
        <v>1</v>
      </c>
      <c r="K47" s="228" t="s">
        <v>73</v>
      </c>
      <c r="L47" s="252" t="s">
        <v>109</v>
      </c>
      <c r="M47" s="228" t="s">
        <v>105</v>
      </c>
      <c r="N47" s="275">
        <v>1</v>
      </c>
      <c r="O47" s="253">
        <v>0</v>
      </c>
      <c r="P47" s="253">
        <v>0</v>
      </c>
      <c r="Q47" s="254"/>
      <c r="R47" s="256" t="s">
        <v>50</v>
      </c>
    </row>
    <row r="48" spans="2:19" x14ac:dyDescent="0.2">
      <c r="B48" s="311"/>
      <c r="C48" s="247" t="s">
        <v>87</v>
      </c>
      <c r="D48" s="244" t="s">
        <v>113</v>
      </c>
      <c r="E48" s="248" t="s">
        <v>88</v>
      </c>
      <c r="F48" s="228" t="s">
        <v>89</v>
      </c>
      <c r="G48" s="280">
        <v>44421</v>
      </c>
      <c r="H48" s="250" t="s">
        <v>128</v>
      </c>
      <c r="I48" s="229">
        <v>471744</v>
      </c>
      <c r="J48" s="275">
        <v>1</v>
      </c>
      <c r="K48" s="228" t="s">
        <v>73</v>
      </c>
      <c r="L48" s="252" t="s">
        <v>109</v>
      </c>
      <c r="M48" s="228" t="s">
        <v>105</v>
      </c>
      <c r="N48" s="275">
        <v>1</v>
      </c>
      <c r="O48" s="253">
        <v>0</v>
      </c>
      <c r="P48" s="253">
        <v>0</v>
      </c>
      <c r="Q48" s="254"/>
      <c r="R48" s="256"/>
    </row>
    <row r="49" spans="1:19" x14ac:dyDescent="0.2">
      <c r="B49" s="311"/>
      <c r="C49" s="247" t="s">
        <v>90</v>
      </c>
      <c r="D49" s="244" t="s">
        <v>112</v>
      </c>
      <c r="E49" s="248" t="s">
        <v>91</v>
      </c>
      <c r="F49" s="228" t="s">
        <v>92</v>
      </c>
      <c r="G49" s="290">
        <v>44524</v>
      </c>
      <c r="H49" s="250" t="s">
        <v>128</v>
      </c>
      <c r="I49" s="229">
        <v>285600</v>
      </c>
      <c r="J49" s="275">
        <v>1</v>
      </c>
      <c r="K49" s="228" t="s">
        <v>73</v>
      </c>
      <c r="L49" s="252" t="s">
        <v>109</v>
      </c>
      <c r="M49" s="228" t="s">
        <v>105</v>
      </c>
      <c r="N49" s="275">
        <v>1</v>
      </c>
      <c r="O49" s="253">
        <v>0</v>
      </c>
      <c r="P49" s="253">
        <v>0</v>
      </c>
      <c r="Q49" s="228"/>
      <c r="R49" s="256"/>
    </row>
    <row r="50" spans="1:19" s="237" customFormat="1" ht="15" hidden="1" x14ac:dyDescent="0.25">
      <c r="B50" s="322"/>
      <c r="C50" s="287"/>
      <c r="D50" s="263"/>
      <c r="E50" s="264"/>
      <c r="F50" s="258" t="s">
        <v>82</v>
      </c>
      <c r="G50" s="258"/>
      <c r="H50" s="259"/>
      <c r="I50" s="260">
        <f>SUM(I43:I49)</f>
        <v>1504364</v>
      </c>
      <c r="J50" s="260"/>
      <c r="K50" s="258"/>
      <c r="L50" s="291"/>
      <c r="M50" s="258"/>
      <c r="N50" s="260"/>
      <c r="O50" s="292"/>
      <c r="P50" s="258"/>
      <c r="Q50" s="254"/>
      <c r="R50" s="288"/>
      <c r="S50" s="239"/>
    </row>
    <row r="51" spans="1:19" ht="15" hidden="1" x14ac:dyDescent="0.2">
      <c r="B51" s="241" t="s">
        <v>142</v>
      </c>
      <c r="D51" s="244"/>
      <c r="E51" s="248"/>
      <c r="F51" s="228"/>
      <c r="G51" s="228"/>
      <c r="H51" s="250"/>
      <c r="I51" s="229"/>
      <c r="J51" s="275"/>
      <c r="K51" s="228"/>
      <c r="L51" s="252"/>
      <c r="M51" s="228"/>
      <c r="N51" s="275"/>
      <c r="O51" s="253"/>
      <c r="P51" s="253"/>
      <c r="Q51" s="254"/>
      <c r="R51" s="286"/>
    </row>
    <row r="52" spans="1:19" hidden="1" x14ac:dyDescent="0.2">
      <c r="B52" s="311"/>
      <c r="C52" s="293" t="s">
        <v>93</v>
      </c>
      <c r="D52" s="294" t="s">
        <v>94</v>
      </c>
      <c r="E52" s="295" t="s">
        <v>95</v>
      </c>
      <c r="F52" s="254"/>
      <c r="G52" s="254"/>
      <c r="H52" s="250" t="s">
        <v>128</v>
      </c>
      <c r="I52" s="296">
        <v>439700</v>
      </c>
      <c r="J52" s="275">
        <v>1</v>
      </c>
      <c r="K52" s="254" t="s">
        <v>23</v>
      </c>
      <c r="L52" s="297" t="s">
        <v>108</v>
      </c>
      <c r="M52" s="254" t="s">
        <v>107</v>
      </c>
      <c r="N52" s="275">
        <v>1</v>
      </c>
      <c r="O52" s="253">
        <v>0</v>
      </c>
      <c r="P52" s="253">
        <v>0</v>
      </c>
      <c r="Q52" s="254"/>
      <c r="R52" s="298"/>
    </row>
    <row r="53" spans="1:19" ht="15" hidden="1" x14ac:dyDescent="0.25">
      <c r="A53" s="299"/>
      <c r="B53" s="311"/>
      <c r="C53" s="300"/>
      <c r="D53" s="301"/>
      <c r="E53" s="302"/>
      <c r="F53" s="258" t="s">
        <v>82</v>
      </c>
      <c r="G53" s="258"/>
      <c r="H53" s="259"/>
      <c r="I53" s="303">
        <f>SUM(I52:I52)</f>
        <v>439700</v>
      </c>
      <c r="J53" s="303"/>
      <c r="K53" s="304"/>
      <c r="L53" s="305"/>
      <c r="M53" s="304"/>
      <c r="N53" s="303"/>
      <c r="O53" s="306"/>
      <c r="P53" s="304"/>
      <c r="Q53" s="304"/>
    </row>
    <row r="54" spans="1:19" hidden="1" x14ac:dyDescent="0.2">
      <c r="I54" s="233">
        <f>+I16+I20+I25+I29+I34+I41+I50+I53</f>
        <v>9941538.3499999996</v>
      </c>
    </row>
    <row r="56" spans="1:19" x14ac:dyDescent="0.2">
      <c r="D56" s="227" t="s">
        <v>677</v>
      </c>
      <c r="G56" s="224"/>
      <c r="H56" s="227" t="s">
        <v>679</v>
      </c>
      <c r="L56" s="227"/>
      <c r="M56" s="224" t="s">
        <v>680</v>
      </c>
      <c r="O56" s="233" t="s">
        <v>680</v>
      </c>
    </row>
    <row r="57" spans="1:19" x14ac:dyDescent="0.2">
      <c r="D57" s="227"/>
      <c r="G57" s="224"/>
      <c r="H57" s="227"/>
      <c r="L57" s="227"/>
      <c r="O57" s="233"/>
    </row>
    <row r="58" spans="1:19" x14ac:dyDescent="0.2">
      <c r="D58" s="227"/>
      <c r="G58" s="224"/>
      <c r="H58" s="227"/>
      <c r="L58" s="227"/>
      <c r="O58" s="233"/>
    </row>
    <row r="59" spans="1:19" ht="15" x14ac:dyDescent="0.25">
      <c r="D59" s="307" t="s">
        <v>673</v>
      </c>
      <c r="G59" s="224"/>
      <c r="H59" s="307" t="s">
        <v>85</v>
      </c>
      <c r="L59" s="307"/>
      <c r="M59" s="223"/>
      <c r="O59" s="308"/>
      <c r="P59" s="309"/>
    </row>
    <row r="60" spans="1:19" x14ac:dyDescent="0.2">
      <c r="D60" s="227" t="s">
        <v>678</v>
      </c>
      <c r="G60" s="224"/>
      <c r="H60" s="227" t="s">
        <v>133</v>
      </c>
      <c r="L60" s="227"/>
      <c r="M60" s="224" t="s">
        <v>681</v>
      </c>
      <c r="O60" s="233" t="s">
        <v>681</v>
      </c>
    </row>
    <row r="66" spans="2:19" s="233" customFormat="1" x14ac:dyDescent="0.2">
      <c r="B66" s="310"/>
      <c r="C66" s="224"/>
      <c r="D66" s="224"/>
      <c r="E66" s="232"/>
      <c r="F66" s="227"/>
      <c r="G66" s="227"/>
      <c r="H66" s="226"/>
      <c r="K66" s="227"/>
      <c r="L66" s="230"/>
      <c r="M66" s="227"/>
      <c r="O66" s="227"/>
      <c r="P66" s="227"/>
      <c r="Q66" s="227"/>
      <c r="R66" s="224"/>
      <c r="S66" s="310"/>
    </row>
    <row r="67" spans="2:19" s="233" customFormat="1" x14ac:dyDescent="0.2">
      <c r="B67" s="310"/>
      <c r="C67" s="224"/>
      <c r="D67" s="224"/>
      <c r="E67" s="232"/>
      <c r="F67" s="227"/>
      <c r="G67" s="227"/>
      <c r="H67" s="226"/>
      <c r="K67" s="227"/>
      <c r="L67" s="230"/>
      <c r="M67" s="227"/>
      <c r="O67" s="227"/>
      <c r="P67" s="227"/>
      <c r="Q67" s="227"/>
      <c r="R67" s="224"/>
      <c r="S67" s="310"/>
    </row>
  </sheetData>
  <autoFilter ref="K1:K67"/>
  <mergeCells count="19">
    <mergeCell ref="O11:P11"/>
    <mergeCell ref="Q11:Q12"/>
    <mergeCell ref="I11:I12"/>
    <mergeCell ref="J11:J12"/>
    <mergeCell ref="B11:B12"/>
    <mergeCell ref="D11:D12"/>
    <mergeCell ref="E11:E12"/>
    <mergeCell ref="F11:F12"/>
    <mergeCell ref="G11:G12"/>
    <mergeCell ref="K11:K12"/>
    <mergeCell ref="L11:L12"/>
    <mergeCell ref="M11:M12"/>
    <mergeCell ref="N11:N12"/>
    <mergeCell ref="H11:H12"/>
    <mergeCell ref="Q1:R1"/>
    <mergeCell ref="B2:Q2"/>
    <mergeCell ref="B3:Q3"/>
    <mergeCell ref="B4:Q4"/>
    <mergeCell ref="B6:Q6"/>
  </mergeCells>
  <conditionalFormatting sqref="M23 M25:M52 M19:M21 M13:M17">
    <cfRule type="cellIs" dxfId="42" priority="6" operator="equal">
      <formula>#REF!</formula>
    </cfRule>
  </conditionalFormatting>
  <conditionalFormatting sqref="E40">
    <cfRule type="duplicateValues" dxfId="41" priority="5"/>
  </conditionalFormatting>
  <conditionalFormatting sqref="M22">
    <cfRule type="cellIs" dxfId="40" priority="4" operator="equal">
      <formula>#REF!</formula>
    </cfRule>
  </conditionalFormatting>
  <conditionalFormatting sqref="M24">
    <cfRule type="cellIs" dxfId="39" priority="3" operator="equal">
      <formula>#REF!</formula>
    </cfRule>
  </conditionalFormatting>
  <conditionalFormatting sqref="M18">
    <cfRule type="cellIs" dxfId="38" priority="2" operator="equal">
      <formula>#REF!</formula>
    </cfRule>
  </conditionalFormatting>
  <conditionalFormatting sqref="E19">
    <cfRule type="duplicateValues" dxfId="37" priority="1"/>
  </conditionalFormatting>
  <hyperlinks>
    <hyperlink ref="R36" r:id="rId1"/>
    <hyperlink ref="R37" r:id="rId2"/>
    <hyperlink ref="R38" r:id="rId3"/>
    <hyperlink ref="R39" r:id="rId4"/>
    <hyperlink ref="R43" r:id="rId5"/>
    <hyperlink ref="R44" r:id="rId6"/>
    <hyperlink ref="R45" r:id="rId7"/>
    <hyperlink ref="R46" r:id="rId8"/>
    <hyperlink ref="R47" r:id="rId9"/>
    <hyperlink ref="R31" r:id="rId10"/>
    <hyperlink ref="R32" r:id="rId11"/>
    <hyperlink ref="R14" r:id="rId12"/>
    <hyperlink ref="R22" r:id="rId13"/>
  </hyperlinks>
  <printOptions horizontalCentered="1"/>
  <pageMargins left="0.11811023622047245" right="0.11811023622047245" top="0.39370078740157483" bottom="0.39370078740157483" header="0" footer="0"/>
  <pageSetup paperSize="14" scale="85" fitToWidth="0" fitToHeight="0" orientation="landscape" horizontalDpi="0" verticalDpi="0" r:id="rId14"/>
  <headerFooter>
    <oddFooter>&amp;C&amp;P OF &amp;N</oddFooter>
  </headerFooter>
  <colBreaks count="1" manualBreakCount="1">
    <brk id="17" max="57" man="1"/>
  </colBreaks>
  <legacyDrawing r:id="rId1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
  <sheetViews>
    <sheetView showGridLines="0" view="pageBreakPreview" topLeftCell="B1" zoomScale="110" zoomScaleNormal="140" zoomScaleSheetLayoutView="110" workbookViewId="0">
      <pane ySplit="13" topLeftCell="A14" activePane="bottomLeft" state="frozen"/>
      <selection activeCell="D1" sqref="D1"/>
      <selection pane="bottomLeft" activeCell="R2" sqref="R1:R1048576"/>
    </sheetView>
  </sheetViews>
  <sheetFormatPr defaultRowHeight="14.25" x14ac:dyDescent="0.2"/>
  <cols>
    <col min="1" max="1" width="4.42578125" style="224" hidden="1" customWidth="1"/>
    <col min="2" max="2" width="11.140625" style="232" customWidth="1"/>
    <col min="3" max="3" width="10.28515625" style="224" hidden="1" customWidth="1"/>
    <col min="4" max="4" width="41.140625" style="224" customWidth="1"/>
    <col min="5" max="5" width="28.42578125" style="232" customWidth="1"/>
    <col min="6" max="6" width="9.28515625" style="227" hidden="1" customWidth="1"/>
    <col min="7" max="7" width="12.140625" style="227" hidden="1" customWidth="1"/>
    <col min="8" max="8" width="9" style="226" customWidth="1"/>
    <col min="9" max="9" width="16.7109375" style="233" customWidth="1"/>
    <col min="10" max="10" width="11.42578125" style="233" customWidth="1"/>
    <col min="11" max="11" width="29.85546875" style="227" hidden="1" customWidth="1"/>
    <col min="12" max="12" width="17.5703125" style="230" hidden="1" customWidth="1"/>
    <col min="13" max="13" width="12.5703125" style="227" hidden="1" customWidth="1"/>
    <col min="14" max="14" width="11.42578125" style="233" customWidth="1"/>
    <col min="15" max="15" width="10.7109375" style="227" customWidth="1"/>
    <col min="16" max="16" width="11" style="227" customWidth="1"/>
    <col min="17" max="17" width="15" style="227" customWidth="1"/>
    <col min="18" max="18" width="5.5703125" style="224" hidden="1" customWidth="1"/>
    <col min="19" max="19" width="17.7109375" style="232" customWidth="1"/>
    <col min="20" max="16384" width="9.140625" style="224"/>
  </cols>
  <sheetData>
    <row r="1" spans="2:19" x14ac:dyDescent="0.2">
      <c r="D1" s="230"/>
      <c r="E1" s="231"/>
      <c r="I1" s="230"/>
      <c r="J1" s="230"/>
      <c r="N1" s="230"/>
      <c r="Q1" s="451" t="s">
        <v>119</v>
      </c>
      <c r="R1" s="451"/>
    </row>
    <row r="2" spans="2:19" x14ac:dyDescent="0.2">
      <c r="B2" s="452" t="s">
        <v>96</v>
      </c>
      <c r="C2" s="452"/>
      <c r="D2" s="452"/>
      <c r="E2" s="452"/>
      <c r="F2" s="452"/>
      <c r="G2" s="452"/>
      <c r="H2" s="452"/>
      <c r="I2" s="452"/>
      <c r="J2" s="452"/>
      <c r="K2" s="452"/>
      <c r="L2" s="452"/>
      <c r="M2" s="452"/>
      <c r="N2" s="452"/>
      <c r="O2" s="452"/>
      <c r="P2" s="452"/>
      <c r="Q2" s="452"/>
    </row>
    <row r="3" spans="2:19" x14ac:dyDescent="0.2">
      <c r="B3" s="452" t="s">
        <v>121</v>
      </c>
      <c r="C3" s="452"/>
      <c r="D3" s="452"/>
      <c r="E3" s="452"/>
      <c r="F3" s="452"/>
      <c r="G3" s="452"/>
      <c r="H3" s="452"/>
      <c r="I3" s="452"/>
      <c r="J3" s="452"/>
      <c r="K3" s="452"/>
      <c r="L3" s="452"/>
      <c r="M3" s="452"/>
      <c r="N3" s="452"/>
      <c r="O3" s="452"/>
      <c r="P3" s="452"/>
      <c r="Q3" s="452"/>
    </row>
    <row r="4" spans="2:19" x14ac:dyDescent="0.2">
      <c r="B4" s="452" t="s">
        <v>137</v>
      </c>
      <c r="C4" s="452"/>
      <c r="D4" s="452"/>
      <c r="E4" s="452"/>
      <c r="F4" s="452"/>
      <c r="G4" s="452"/>
      <c r="H4" s="452"/>
      <c r="I4" s="452"/>
      <c r="J4" s="452"/>
      <c r="K4" s="452"/>
      <c r="L4" s="452"/>
      <c r="M4" s="452"/>
      <c r="N4" s="452"/>
      <c r="O4" s="452"/>
      <c r="P4" s="452"/>
      <c r="Q4" s="452"/>
    </row>
    <row r="5" spans="2:19" x14ac:dyDescent="0.2">
      <c r="L5" s="234"/>
      <c r="O5" s="235"/>
      <c r="P5" s="236"/>
    </row>
    <row r="6" spans="2:19" x14ac:dyDescent="0.2">
      <c r="B6" s="452" t="s">
        <v>120</v>
      </c>
      <c r="C6" s="452"/>
      <c r="D6" s="452"/>
      <c r="E6" s="452"/>
      <c r="F6" s="452"/>
      <c r="G6" s="452"/>
      <c r="H6" s="452"/>
      <c r="I6" s="452"/>
      <c r="J6" s="452"/>
      <c r="K6" s="452"/>
      <c r="L6" s="452"/>
      <c r="M6" s="452"/>
      <c r="N6" s="452"/>
      <c r="O6" s="452"/>
      <c r="P6" s="452"/>
      <c r="Q6" s="452"/>
    </row>
    <row r="7" spans="2:19" ht="15" x14ac:dyDescent="0.2">
      <c r="B7" s="464"/>
      <c r="C7" s="464"/>
      <c r="D7" s="464"/>
      <c r="E7" s="464"/>
      <c r="F7" s="464"/>
      <c r="G7" s="464"/>
      <c r="H7" s="464"/>
      <c r="I7" s="464"/>
      <c r="J7" s="464"/>
      <c r="K7" s="464"/>
      <c r="L7" s="464"/>
      <c r="M7" s="464"/>
      <c r="N7" s="464"/>
      <c r="O7" s="464"/>
      <c r="P7" s="464"/>
      <c r="Q7" s="464"/>
    </row>
    <row r="8" spans="2:19" x14ac:dyDescent="0.2">
      <c r="B8" s="324"/>
      <c r="C8" s="320"/>
      <c r="D8" s="320"/>
      <c r="E8" s="320"/>
      <c r="F8" s="320"/>
      <c r="G8" s="320"/>
      <c r="H8" s="320"/>
      <c r="I8" s="320"/>
      <c r="J8" s="320"/>
      <c r="K8" s="320"/>
      <c r="L8" s="320"/>
      <c r="M8" s="320"/>
      <c r="N8" s="320"/>
      <c r="O8" s="320"/>
      <c r="P8" s="320"/>
      <c r="Q8" s="320"/>
    </row>
    <row r="9" spans="2:19" x14ac:dyDescent="0.2">
      <c r="B9" s="232" t="s">
        <v>682</v>
      </c>
    </row>
    <row r="10" spans="2:19" x14ac:dyDescent="0.2">
      <c r="B10" s="232" t="s">
        <v>685</v>
      </c>
    </row>
    <row r="11" spans="2:19" ht="4.5" customHeight="1" x14ac:dyDescent="0.2"/>
    <row r="12" spans="2:19" s="237" customFormat="1" ht="37.5" customHeight="1" x14ac:dyDescent="0.25">
      <c r="B12" s="462" t="s">
        <v>110</v>
      </c>
      <c r="C12" s="238" t="s">
        <v>1</v>
      </c>
      <c r="D12" s="457" t="s">
        <v>97</v>
      </c>
      <c r="E12" s="462" t="s">
        <v>116</v>
      </c>
      <c r="F12" s="457" t="s">
        <v>155</v>
      </c>
      <c r="G12" s="457" t="s">
        <v>156</v>
      </c>
      <c r="H12" s="457" t="s">
        <v>136</v>
      </c>
      <c r="I12" s="453" t="s">
        <v>98</v>
      </c>
      <c r="J12" s="453" t="s">
        <v>132</v>
      </c>
      <c r="K12" s="457" t="s">
        <v>3</v>
      </c>
      <c r="L12" s="457" t="s">
        <v>2</v>
      </c>
      <c r="M12" s="457" t="s">
        <v>101</v>
      </c>
      <c r="N12" s="453" t="s">
        <v>100</v>
      </c>
      <c r="O12" s="455" t="s">
        <v>131</v>
      </c>
      <c r="P12" s="456"/>
      <c r="Q12" s="457" t="s">
        <v>99</v>
      </c>
      <c r="R12" s="238" t="s">
        <v>4</v>
      </c>
      <c r="S12" s="239"/>
    </row>
    <row r="13" spans="2:19" s="237" customFormat="1" ht="16.5" customHeight="1" x14ac:dyDescent="0.25">
      <c r="B13" s="463"/>
      <c r="C13" s="240"/>
      <c r="D13" s="458"/>
      <c r="E13" s="463"/>
      <c r="F13" s="458"/>
      <c r="G13" s="458"/>
      <c r="H13" s="458"/>
      <c r="I13" s="454"/>
      <c r="J13" s="454"/>
      <c r="K13" s="458"/>
      <c r="L13" s="458"/>
      <c r="M13" s="458"/>
      <c r="N13" s="454"/>
      <c r="O13" s="238" t="s">
        <v>130</v>
      </c>
      <c r="P13" s="238" t="s">
        <v>117</v>
      </c>
      <c r="Q13" s="458"/>
      <c r="R13" s="238"/>
      <c r="S13" s="239"/>
    </row>
    <row r="14" spans="2:19" ht="15" x14ac:dyDescent="0.2">
      <c r="B14" s="241" t="s">
        <v>142</v>
      </c>
      <c r="D14" s="244"/>
      <c r="E14" s="248"/>
      <c r="F14" s="228"/>
      <c r="G14" s="228"/>
      <c r="H14" s="250"/>
      <c r="I14" s="229"/>
      <c r="J14" s="275"/>
      <c r="K14" s="228"/>
      <c r="L14" s="252"/>
      <c r="M14" s="228"/>
      <c r="N14" s="275"/>
      <c r="O14" s="253"/>
      <c r="P14" s="253"/>
      <c r="Q14" s="254"/>
      <c r="R14" s="286"/>
    </row>
    <row r="15" spans="2:19" x14ac:dyDescent="0.2">
      <c r="B15" s="311"/>
      <c r="C15" s="293" t="s">
        <v>93</v>
      </c>
      <c r="D15" s="294" t="s">
        <v>94</v>
      </c>
      <c r="E15" s="295" t="s">
        <v>95</v>
      </c>
      <c r="F15" s="254"/>
      <c r="G15" s="254"/>
      <c r="H15" s="250" t="s">
        <v>128</v>
      </c>
      <c r="I15" s="296">
        <v>439700</v>
      </c>
      <c r="J15" s="275">
        <v>1</v>
      </c>
      <c r="K15" s="254" t="s">
        <v>23</v>
      </c>
      <c r="L15" s="297" t="s">
        <v>108</v>
      </c>
      <c r="M15" s="254" t="s">
        <v>107</v>
      </c>
      <c r="N15" s="275">
        <v>1</v>
      </c>
      <c r="O15" s="253">
        <v>0</v>
      </c>
      <c r="P15" s="253">
        <v>0</v>
      </c>
      <c r="Q15" s="254"/>
      <c r="R15" s="298"/>
    </row>
    <row r="16" spans="2:19" x14ac:dyDescent="0.2">
      <c r="B16" s="311"/>
      <c r="C16" s="293"/>
      <c r="D16" s="294"/>
      <c r="E16" s="295"/>
      <c r="F16" s="254"/>
      <c r="G16" s="254"/>
      <c r="H16" s="250"/>
      <c r="I16" s="296"/>
      <c r="J16" s="275"/>
      <c r="K16" s="254"/>
      <c r="L16" s="297"/>
      <c r="M16" s="254"/>
      <c r="N16" s="275"/>
      <c r="O16" s="253"/>
      <c r="P16" s="253"/>
      <c r="Q16" s="254"/>
      <c r="R16" s="298"/>
    </row>
    <row r="17" spans="1:18" x14ac:dyDescent="0.2">
      <c r="B17" s="311"/>
      <c r="C17" s="293"/>
      <c r="D17" s="294"/>
      <c r="E17" s="295"/>
      <c r="F17" s="254"/>
      <c r="G17" s="254"/>
      <c r="H17" s="250"/>
      <c r="I17" s="296"/>
      <c r="J17" s="275"/>
      <c r="K17" s="254"/>
      <c r="L17" s="297"/>
      <c r="M17" s="254"/>
      <c r="N17" s="275"/>
      <c r="O17" s="253"/>
      <c r="P17" s="253"/>
      <c r="Q17" s="254"/>
      <c r="R17" s="298"/>
    </row>
    <row r="18" spans="1:18" x14ac:dyDescent="0.2">
      <c r="B18" s="311"/>
      <c r="C18" s="293"/>
      <c r="D18" s="294"/>
      <c r="E18" s="295"/>
      <c r="F18" s="254"/>
      <c r="G18" s="254"/>
      <c r="H18" s="250"/>
      <c r="I18" s="296"/>
      <c r="J18" s="275"/>
      <c r="K18" s="254"/>
      <c r="L18" s="297"/>
      <c r="M18" s="254"/>
      <c r="N18" s="275"/>
      <c r="O18" s="253"/>
      <c r="P18" s="253"/>
      <c r="Q18" s="254"/>
      <c r="R18" s="298"/>
    </row>
    <row r="19" spans="1:18" x14ac:dyDescent="0.2">
      <c r="B19" s="311"/>
      <c r="C19" s="293"/>
      <c r="D19" s="294"/>
      <c r="E19" s="295"/>
      <c r="F19" s="254"/>
      <c r="G19" s="254"/>
      <c r="H19" s="250"/>
      <c r="I19" s="296"/>
      <c r="J19" s="275"/>
      <c r="K19" s="254"/>
      <c r="L19" s="297"/>
      <c r="M19" s="254"/>
      <c r="N19" s="275"/>
      <c r="O19" s="253"/>
      <c r="P19" s="253"/>
      <c r="Q19" s="254"/>
      <c r="R19" s="298"/>
    </row>
    <row r="20" spans="1:18" x14ac:dyDescent="0.2">
      <c r="B20" s="311"/>
      <c r="C20" s="293"/>
      <c r="D20" s="294"/>
      <c r="E20" s="295"/>
      <c r="F20" s="254"/>
      <c r="G20" s="254"/>
      <c r="H20" s="250"/>
      <c r="I20" s="296"/>
      <c r="J20" s="275"/>
      <c r="K20" s="254"/>
      <c r="L20" s="297"/>
      <c r="M20" s="254"/>
      <c r="N20" s="275"/>
      <c r="O20" s="253"/>
      <c r="P20" s="253"/>
      <c r="Q20" s="254"/>
      <c r="R20" s="298"/>
    </row>
    <row r="21" spans="1:18" x14ac:dyDescent="0.2">
      <c r="B21" s="311"/>
      <c r="C21" s="293"/>
      <c r="D21" s="294"/>
      <c r="E21" s="295"/>
      <c r="F21" s="254"/>
      <c r="G21" s="254"/>
      <c r="H21" s="250"/>
      <c r="I21" s="296"/>
      <c r="J21" s="275"/>
      <c r="K21" s="254"/>
      <c r="L21" s="297"/>
      <c r="M21" s="254"/>
      <c r="N21" s="275"/>
      <c r="O21" s="253"/>
      <c r="P21" s="253"/>
      <c r="Q21" s="254"/>
      <c r="R21" s="298"/>
    </row>
    <row r="22" spans="1:18" x14ac:dyDescent="0.2">
      <c r="B22" s="311"/>
      <c r="C22" s="293"/>
      <c r="D22" s="294"/>
      <c r="E22" s="295"/>
      <c r="F22" s="254"/>
      <c r="G22" s="254"/>
      <c r="H22" s="250"/>
      <c r="I22" s="296"/>
      <c r="J22" s="275"/>
      <c r="K22" s="254"/>
      <c r="L22" s="297"/>
      <c r="M22" s="254"/>
      <c r="N22" s="275"/>
      <c r="O22" s="253"/>
      <c r="P22" s="253"/>
      <c r="Q22" s="254"/>
      <c r="R22" s="298"/>
    </row>
    <row r="23" spans="1:18" x14ac:dyDescent="0.2">
      <c r="B23" s="311"/>
      <c r="C23" s="293"/>
      <c r="D23" s="294"/>
      <c r="E23" s="295"/>
      <c r="F23" s="254"/>
      <c r="G23" s="254"/>
      <c r="H23" s="250"/>
      <c r="I23" s="296"/>
      <c r="J23" s="275"/>
      <c r="K23" s="254"/>
      <c r="L23" s="297"/>
      <c r="M23" s="254"/>
      <c r="N23" s="275"/>
      <c r="O23" s="253"/>
      <c r="P23" s="253"/>
      <c r="Q23" s="254"/>
      <c r="R23" s="298"/>
    </row>
    <row r="24" spans="1:18" ht="15" x14ac:dyDescent="0.25">
      <c r="A24" s="299"/>
      <c r="B24" s="311"/>
      <c r="C24" s="300"/>
      <c r="D24" s="301"/>
      <c r="E24" s="302"/>
      <c r="F24" s="258" t="s">
        <v>82</v>
      </c>
      <c r="G24" s="258"/>
      <c r="H24" s="259"/>
      <c r="I24" s="303"/>
      <c r="J24" s="303"/>
      <c r="K24" s="304"/>
      <c r="L24" s="305"/>
      <c r="M24" s="304"/>
      <c r="N24" s="303"/>
      <c r="O24" s="306"/>
      <c r="P24" s="304"/>
      <c r="Q24" s="304"/>
    </row>
    <row r="27" spans="1:18" x14ac:dyDescent="0.2">
      <c r="D27" s="227" t="s">
        <v>677</v>
      </c>
      <c r="G27" s="224"/>
      <c r="H27" s="227" t="s">
        <v>679</v>
      </c>
      <c r="L27" s="227"/>
      <c r="M27" s="224" t="s">
        <v>680</v>
      </c>
      <c r="O27" s="233" t="s">
        <v>680</v>
      </c>
    </row>
    <row r="28" spans="1:18" x14ac:dyDescent="0.2">
      <c r="D28" s="227"/>
      <c r="G28" s="224"/>
      <c r="H28" s="227"/>
      <c r="L28" s="227"/>
      <c r="O28" s="233"/>
    </row>
    <row r="29" spans="1:18" x14ac:dyDescent="0.2">
      <c r="D29" s="227"/>
      <c r="G29" s="224"/>
      <c r="H29" s="227"/>
      <c r="L29" s="227"/>
      <c r="O29" s="233"/>
    </row>
    <row r="30" spans="1:18" ht="15" x14ac:dyDescent="0.25">
      <c r="D30" s="307" t="s">
        <v>673</v>
      </c>
      <c r="G30" s="224"/>
      <c r="H30" s="307" t="s">
        <v>85</v>
      </c>
      <c r="L30" s="307"/>
      <c r="M30" s="223"/>
      <c r="O30" s="308"/>
      <c r="P30" s="309"/>
    </row>
    <row r="31" spans="1:18" x14ac:dyDescent="0.2">
      <c r="D31" s="227" t="s">
        <v>678</v>
      </c>
      <c r="G31" s="224"/>
      <c r="H31" s="227" t="s">
        <v>133</v>
      </c>
      <c r="L31" s="227"/>
      <c r="M31" s="224" t="s">
        <v>681</v>
      </c>
      <c r="O31" s="233" t="s">
        <v>681</v>
      </c>
    </row>
    <row r="37" spans="2:19" s="233" customFormat="1" x14ac:dyDescent="0.2">
      <c r="B37" s="310"/>
      <c r="C37" s="224"/>
      <c r="D37" s="224"/>
      <c r="E37" s="232"/>
      <c r="F37" s="227"/>
      <c r="G37" s="227"/>
      <c r="H37" s="226"/>
      <c r="K37" s="227"/>
      <c r="L37" s="230"/>
      <c r="M37" s="227"/>
      <c r="O37" s="227"/>
      <c r="P37" s="227"/>
      <c r="Q37" s="227"/>
      <c r="R37" s="224"/>
      <c r="S37" s="310"/>
    </row>
    <row r="38" spans="2:19" s="233" customFormat="1" x14ac:dyDescent="0.2">
      <c r="B38" s="310"/>
      <c r="C38" s="224"/>
      <c r="D38" s="224"/>
      <c r="E38" s="232"/>
      <c r="F38" s="227"/>
      <c r="G38" s="227"/>
      <c r="H38" s="226"/>
      <c r="K38" s="227"/>
      <c r="L38" s="230"/>
      <c r="M38" s="227"/>
      <c r="O38" s="227"/>
      <c r="P38" s="227"/>
      <c r="Q38" s="227"/>
      <c r="R38" s="224"/>
      <c r="S38" s="310"/>
    </row>
  </sheetData>
  <autoFilter ref="K1:K38"/>
  <mergeCells count="20">
    <mergeCell ref="Q1:R1"/>
    <mergeCell ref="B2:Q2"/>
    <mergeCell ref="B3:Q3"/>
    <mergeCell ref="B4:Q4"/>
    <mergeCell ref="B6:Q6"/>
    <mergeCell ref="B7:Q7"/>
    <mergeCell ref="B12:B13"/>
    <mergeCell ref="D12:D13"/>
    <mergeCell ref="E12:E13"/>
    <mergeCell ref="F12:F13"/>
    <mergeCell ref="G12:G13"/>
    <mergeCell ref="O12:P12"/>
    <mergeCell ref="Q12:Q13"/>
    <mergeCell ref="I12:I13"/>
    <mergeCell ref="J12:J13"/>
    <mergeCell ref="K12:K13"/>
    <mergeCell ref="L12:L13"/>
    <mergeCell ref="M12:M13"/>
    <mergeCell ref="N12:N13"/>
    <mergeCell ref="H12:H13"/>
  </mergeCells>
  <conditionalFormatting sqref="M14:M23">
    <cfRule type="cellIs" dxfId="36" priority="6" operator="equal">
      <formula>#REF!</formula>
    </cfRule>
  </conditionalFormatting>
  <printOptions horizontalCentered="1"/>
  <pageMargins left="0.11811023622047245" right="0.11811023622047245" top="0.39370078740157483" bottom="0.39370078740157483" header="0" footer="0"/>
  <pageSetup paperSize="14" scale="85" fitToWidth="0" fitToHeight="0" orientation="landscape" horizontalDpi="0" verticalDpi="0" r:id="rId1"/>
  <headerFooter>
    <oddFooter>&amp;C&amp;P OF &amp;N</oddFooter>
  </headerFooter>
  <colBreaks count="1" manualBreakCount="1">
    <brk id="17" max="57" man="1"/>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8"/>
  <sheetViews>
    <sheetView showGridLines="0" view="pageBreakPreview" topLeftCell="B1" zoomScale="110" zoomScaleNormal="140" zoomScaleSheetLayoutView="110" workbookViewId="0">
      <pane ySplit="13" topLeftCell="A14" activePane="bottomLeft" state="frozen"/>
      <selection activeCell="D1" sqref="D1"/>
      <selection pane="bottomLeft" activeCell="U12" sqref="U12"/>
    </sheetView>
  </sheetViews>
  <sheetFormatPr defaultRowHeight="14.25" x14ac:dyDescent="0.2"/>
  <cols>
    <col min="1" max="1" width="4.42578125" style="224" hidden="1" customWidth="1"/>
    <col min="2" max="2" width="12" style="232" customWidth="1"/>
    <col min="3" max="3" width="10.28515625" style="224" hidden="1" customWidth="1"/>
    <col min="4" max="4" width="41.140625" style="224" customWidth="1"/>
    <col min="5" max="5" width="28.42578125" style="232" customWidth="1"/>
    <col min="6" max="6" width="9.28515625" style="227" hidden="1" customWidth="1"/>
    <col min="7" max="7" width="12.140625" style="227" hidden="1" customWidth="1"/>
    <col min="8" max="8" width="9" style="226" customWidth="1"/>
    <col min="9" max="9" width="16.7109375" style="233" customWidth="1"/>
    <col min="10" max="10" width="11.42578125" style="233" customWidth="1"/>
    <col min="11" max="11" width="29.85546875" style="227" hidden="1" customWidth="1"/>
    <col min="12" max="12" width="17.5703125" style="230" hidden="1" customWidth="1"/>
    <col min="13" max="13" width="12.5703125" style="227" hidden="1" customWidth="1"/>
    <col min="14" max="14" width="11.42578125" style="233" customWidth="1"/>
    <col min="15" max="15" width="11.85546875" style="227" customWidth="1"/>
    <col min="16" max="16" width="11" style="227" customWidth="1"/>
    <col min="17" max="17" width="18" style="227" customWidth="1"/>
    <col min="18" max="18" width="5.85546875" style="224" hidden="1" customWidth="1"/>
    <col min="19" max="19" width="17.7109375" style="232" customWidth="1"/>
    <col min="20" max="16384" width="9.140625" style="224"/>
  </cols>
  <sheetData>
    <row r="1" spans="2:19" x14ac:dyDescent="0.2">
      <c r="D1" s="230"/>
      <c r="E1" s="231"/>
      <c r="I1" s="230"/>
      <c r="J1" s="230"/>
      <c r="N1" s="230"/>
      <c r="Q1" s="451" t="s">
        <v>119</v>
      </c>
      <c r="R1" s="451"/>
    </row>
    <row r="2" spans="2:19" x14ac:dyDescent="0.2">
      <c r="B2" s="452" t="s">
        <v>96</v>
      </c>
      <c r="C2" s="452"/>
      <c r="D2" s="452"/>
      <c r="E2" s="452"/>
      <c r="F2" s="452"/>
      <c r="G2" s="452"/>
      <c r="H2" s="452"/>
      <c r="I2" s="452"/>
      <c r="J2" s="452"/>
      <c r="K2" s="452"/>
      <c r="L2" s="452"/>
      <c r="M2" s="452"/>
      <c r="N2" s="452"/>
      <c r="O2" s="452"/>
      <c r="P2" s="452"/>
      <c r="Q2" s="452"/>
    </row>
    <row r="3" spans="2:19" x14ac:dyDescent="0.2">
      <c r="B3" s="452" t="s">
        <v>121</v>
      </c>
      <c r="C3" s="452"/>
      <c r="D3" s="452"/>
      <c r="E3" s="452"/>
      <c r="F3" s="452"/>
      <c r="G3" s="452"/>
      <c r="H3" s="452"/>
      <c r="I3" s="452"/>
      <c r="J3" s="452"/>
      <c r="K3" s="452"/>
      <c r="L3" s="452"/>
      <c r="M3" s="452"/>
      <c r="N3" s="452"/>
      <c r="O3" s="452"/>
      <c r="P3" s="452"/>
      <c r="Q3" s="452"/>
    </row>
    <row r="4" spans="2:19" x14ac:dyDescent="0.2">
      <c r="B4" s="452" t="s">
        <v>137</v>
      </c>
      <c r="C4" s="452"/>
      <c r="D4" s="452"/>
      <c r="E4" s="452"/>
      <c r="F4" s="452"/>
      <c r="G4" s="452"/>
      <c r="H4" s="452"/>
      <c r="I4" s="452"/>
      <c r="J4" s="452"/>
      <c r="K4" s="452"/>
      <c r="L4" s="452"/>
      <c r="M4" s="452"/>
      <c r="N4" s="452"/>
      <c r="O4" s="452"/>
      <c r="P4" s="452"/>
      <c r="Q4" s="452"/>
    </row>
    <row r="5" spans="2:19" x14ac:dyDescent="0.2">
      <c r="L5" s="234"/>
      <c r="O5" s="235"/>
      <c r="P5" s="236"/>
    </row>
    <row r="6" spans="2:19" x14ac:dyDescent="0.2">
      <c r="B6" s="452" t="s">
        <v>120</v>
      </c>
      <c r="C6" s="452"/>
      <c r="D6" s="452"/>
      <c r="E6" s="452"/>
      <c r="F6" s="452"/>
      <c r="G6" s="452"/>
      <c r="H6" s="452"/>
      <c r="I6" s="452"/>
      <c r="J6" s="452"/>
      <c r="K6" s="452"/>
      <c r="L6" s="452"/>
      <c r="M6" s="452"/>
      <c r="N6" s="452"/>
      <c r="O6" s="452"/>
      <c r="P6" s="452"/>
      <c r="Q6" s="452"/>
    </row>
    <row r="7" spans="2:19" ht="15" x14ac:dyDescent="0.2">
      <c r="B7" s="464"/>
      <c r="C7" s="464"/>
      <c r="D7" s="464"/>
      <c r="E7" s="464"/>
      <c r="F7" s="464"/>
      <c r="G7" s="464"/>
      <c r="H7" s="464"/>
      <c r="I7" s="464"/>
      <c r="J7" s="464"/>
      <c r="K7" s="464"/>
      <c r="L7" s="464"/>
      <c r="M7" s="464"/>
      <c r="N7" s="464"/>
      <c r="O7" s="464"/>
      <c r="P7" s="464"/>
      <c r="Q7" s="464"/>
    </row>
    <row r="8" spans="2:19" x14ac:dyDescent="0.2">
      <c r="B8" s="324"/>
      <c r="C8" s="320"/>
      <c r="D8" s="320"/>
      <c r="E8" s="320"/>
      <c r="F8" s="320"/>
      <c r="G8" s="320"/>
      <c r="H8" s="320"/>
      <c r="I8" s="320"/>
      <c r="J8" s="320"/>
      <c r="K8" s="320"/>
      <c r="L8" s="320"/>
      <c r="M8" s="320"/>
      <c r="N8" s="320"/>
      <c r="O8" s="320"/>
      <c r="P8" s="320"/>
      <c r="Q8" s="320"/>
    </row>
    <row r="9" spans="2:19" x14ac:dyDescent="0.2">
      <c r="B9" s="232" t="s">
        <v>682</v>
      </c>
    </row>
    <row r="10" spans="2:19" x14ac:dyDescent="0.2">
      <c r="B10" s="232" t="s">
        <v>686</v>
      </c>
    </row>
    <row r="11" spans="2:19" ht="4.5" customHeight="1" x14ac:dyDescent="0.2"/>
    <row r="12" spans="2:19" s="237" customFormat="1" ht="37.5" customHeight="1" x14ac:dyDescent="0.25">
      <c r="B12" s="462" t="s">
        <v>110</v>
      </c>
      <c r="C12" s="238" t="s">
        <v>1</v>
      </c>
      <c r="D12" s="457" t="s">
        <v>97</v>
      </c>
      <c r="E12" s="462" t="s">
        <v>116</v>
      </c>
      <c r="F12" s="457" t="s">
        <v>155</v>
      </c>
      <c r="G12" s="457" t="s">
        <v>156</v>
      </c>
      <c r="H12" s="457" t="s">
        <v>136</v>
      </c>
      <c r="I12" s="453" t="s">
        <v>98</v>
      </c>
      <c r="J12" s="453" t="s">
        <v>132</v>
      </c>
      <c r="K12" s="457" t="s">
        <v>3</v>
      </c>
      <c r="L12" s="457" t="s">
        <v>2</v>
      </c>
      <c r="M12" s="457" t="s">
        <v>101</v>
      </c>
      <c r="N12" s="453" t="s">
        <v>100</v>
      </c>
      <c r="O12" s="455" t="s">
        <v>131</v>
      </c>
      <c r="P12" s="456"/>
      <c r="Q12" s="457" t="s">
        <v>99</v>
      </c>
      <c r="R12" s="238" t="s">
        <v>4</v>
      </c>
      <c r="S12" s="239"/>
    </row>
    <row r="13" spans="2:19" s="237" customFormat="1" ht="16.5" customHeight="1" x14ac:dyDescent="0.25">
      <c r="B13" s="463"/>
      <c r="C13" s="240"/>
      <c r="D13" s="458"/>
      <c r="E13" s="463"/>
      <c r="F13" s="458"/>
      <c r="G13" s="458"/>
      <c r="H13" s="458"/>
      <c r="I13" s="454"/>
      <c r="J13" s="454"/>
      <c r="K13" s="458"/>
      <c r="L13" s="458"/>
      <c r="M13" s="458"/>
      <c r="N13" s="454"/>
      <c r="O13" s="238" t="s">
        <v>130</v>
      </c>
      <c r="P13" s="238" t="s">
        <v>117</v>
      </c>
      <c r="Q13" s="458"/>
      <c r="R13" s="238"/>
      <c r="S13" s="239"/>
    </row>
    <row r="14" spans="2:19" ht="15" hidden="1" x14ac:dyDescent="0.2">
      <c r="B14" s="241" t="s">
        <v>111</v>
      </c>
      <c r="D14" s="242"/>
      <c r="E14" s="243"/>
      <c r="F14" s="244"/>
      <c r="G14" s="244"/>
      <c r="H14" s="242"/>
      <c r="I14" s="245"/>
      <c r="J14" s="245"/>
      <c r="K14" s="244"/>
      <c r="L14" s="246"/>
      <c r="M14" s="244"/>
      <c r="N14" s="245"/>
      <c r="O14" s="244"/>
      <c r="P14" s="244"/>
      <c r="Q14" s="244"/>
      <c r="R14" s="242"/>
    </row>
    <row r="15" spans="2:19" hidden="1" x14ac:dyDescent="0.2">
      <c r="B15" s="311"/>
      <c r="C15" s="247">
        <v>43462</v>
      </c>
      <c r="D15" s="244" t="s">
        <v>104</v>
      </c>
      <c r="E15" s="248" t="s">
        <v>5</v>
      </c>
      <c r="F15" s="228"/>
      <c r="G15" s="249">
        <v>43462</v>
      </c>
      <c r="H15" s="250"/>
      <c r="I15" s="229">
        <v>1782828.5</v>
      </c>
      <c r="J15" s="251">
        <v>1</v>
      </c>
      <c r="K15" s="228" t="s">
        <v>7</v>
      </c>
      <c r="L15" s="252" t="s">
        <v>103</v>
      </c>
      <c r="M15" s="228" t="s">
        <v>105</v>
      </c>
      <c r="N15" s="251">
        <v>1</v>
      </c>
      <c r="O15" s="253">
        <v>0</v>
      </c>
      <c r="P15" s="253">
        <v>0</v>
      </c>
      <c r="Q15" s="254"/>
      <c r="R15" s="255" t="s">
        <v>40</v>
      </c>
    </row>
    <row r="16" spans="2:19" hidden="1" x14ac:dyDescent="0.2">
      <c r="B16" s="311"/>
      <c r="C16" s="247">
        <v>28858</v>
      </c>
      <c r="D16" s="244" t="s">
        <v>104</v>
      </c>
      <c r="E16" s="248" t="s">
        <v>86</v>
      </c>
      <c r="F16" s="228"/>
      <c r="G16" s="249">
        <v>28915</v>
      </c>
      <c r="H16" s="250"/>
      <c r="I16" s="229">
        <v>1476980.09</v>
      </c>
      <c r="J16" s="251">
        <v>1</v>
      </c>
      <c r="K16" s="228" t="s">
        <v>7</v>
      </c>
      <c r="L16" s="252" t="s">
        <v>103</v>
      </c>
      <c r="M16" s="228" t="s">
        <v>105</v>
      </c>
      <c r="N16" s="251">
        <v>1</v>
      </c>
      <c r="O16" s="253">
        <v>0</v>
      </c>
      <c r="P16" s="253">
        <v>0</v>
      </c>
      <c r="Q16" s="254"/>
      <c r="R16" s="256"/>
    </row>
    <row r="17" spans="1:19" ht="15" hidden="1" x14ac:dyDescent="0.2">
      <c r="B17" s="311"/>
      <c r="C17" s="247"/>
      <c r="D17" s="244"/>
      <c r="E17" s="248"/>
      <c r="F17" s="258" t="s">
        <v>82</v>
      </c>
      <c r="G17" s="258"/>
      <c r="H17" s="259"/>
      <c r="I17" s="260">
        <f>SUM(I15:I16)</f>
        <v>3259808.59</v>
      </c>
      <c r="J17" s="260"/>
      <c r="K17" s="228"/>
      <c r="L17" s="252"/>
      <c r="M17" s="228"/>
      <c r="N17" s="260"/>
      <c r="O17" s="228"/>
      <c r="P17" s="228"/>
      <c r="Q17" s="254"/>
      <c r="R17" s="256"/>
    </row>
    <row r="18" spans="1:19" s="237" customFormat="1" ht="15" hidden="1" x14ac:dyDescent="0.25">
      <c r="B18" s="241" t="s">
        <v>149</v>
      </c>
      <c r="C18" s="262"/>
      <c r="D18" s="263"/>
      <c r="E18" s="264"/>
      <c r="F18" s="258"/>
      <c r="G18" s="258"/>
      <c r="H18" s="250"/>
      <c r="I18" s="260"/>
      <c r="J18" s="260"/>
      <c r="K18" s="258"/>
      <c r="L18" s="265"/>
      <c r="M18" s="258"/>
      <c r="N18" s="260"/>
      <c r="O18" s="258"/>
      <c r="P18" s="258"/>
      <c r="Q18" s="254"/>
      <c r="R18" s="266"/>
      <c r="S18" s="239"/>
    </row>
    <row r="19" spans="1:19" s="237" customFormat="1" ht="28.5" hidden="1" x14ac:dyDescent="0.25">
      <c r="B19" s="241"/>
      <c r="C19" s="262"/>
      <c r="D19" s="267" t="s">
        <v>150</v>
      </c>
      <c r="E19" s="268" t="s">
        <v>151</v>
      </c>
      <c r="F19" s="258"/>
      <c r="G19" s="258"/>
      <c r="H19" s="250" t="s">
        <v>152</v>
      </c>
      <c r="I19" s="269">
        <v>62994.75</v>
      </c>
      <c r="J19" s="251">
        <v>1</v>
      </c>
      <c r="K19" s="228" t="s">
        <v>84</v>
      </c>
      <c r="L19" s="252" t="s">
        <v>8</v>
      </c>
      <c r="M19" s="228" t="s">
        <v>106</v>
      </c>
      <c r="N19" s="251">
        <v>1</v>
      </c>
      <c r="O19" s="253">
        <v>0</v>
      </c>
      <c r="P19" s="253">
        <v>0</v>
      </c>
      <c r="Q19" s="270" t="s">
        <v>134</v>
      </c>
      <c r="R19" s="266"/>
      <c r="S19" s="239"/>
    </row>
    <row r="20" spans="1:19" s="237" customFormat="1" ht="71.25" hidden="1" x14ac:dyDescent="0.25">
      <c r="B20" s="241"/>
      <c r="C20" s="262"/>
      <c r="D20" s="244" t="s">
        <v>154</v>
      </c>
      <c r="E20" s="228" t="s">
        <v>158</v>
      </c>
      <c r="F20" s="258"/>
      <c r="G20" s="249">
        <v>44564</v>
      </c>
      <c r="H20" s="250" t="s">
        <v>128</v>
      </c>
      <c r="I20" s="271">
        <v>305103.38</v>
      </c>
      <c r="J20" s="251">
        <v>1</v>
      </c>
      <c r="K20" s="228" t="s">
        <v>7</v>
      </c>
      <c r="L20" s="252" t="s">
        <v>6</v>
      </c>
      <c r="M20" s="228" t="s">
        <v>105</v>
      </c>
      <c r="N20" s="251">
        <v>1</v>
      </c>
      <c r="O20" s="253">
        <v>0</v>
      </c>
      <c r="P20" s="253">
        <v>0</v>
      </c>
      <c r="Q20" s="254"/>
      <c r="R20" s="266"/>
      <c r="S20" s="239"/>
    </row>
    <row r="21" spans="1:19" s="237" customFormat="1" ht="15" hidden="1" x14ac:dyDescent="0.25">
      <c r="B21" s="322"/>
      <c r="C21" s="262"/>
      <c r="D21" s="263"/>
      <c r="E21" s="264"/>
      <c r="F21" s="258" t="s">
        <v>82</v>
      </c>
      <c r="G21" s="258"/>
      <c r="H21" s="250"/>
      <c r="I21" s="260">
        <f>SUM(I19:I20)</f>
        <v>368098.13</v>
      </c>
      <c r="J21" s="260"/>
      <c r="K21" s="258"/>
      <c r="L21" s="265"/>
      <c r="M21" s="258"/>
      <c r="N21" s="260"/>
      <c r="O21" s="258"/>
      <c r="P21" s="258"/>
      <c r="Q21" s="254"/>
      <c r="R21" s="266"/>
      <c r="S21" s="239"/>
    </row>
    <row r="22" spans="1:19" ht="15" hidden="1" x14ac:dyDescent="0.2">
      <c r="B22" s="241" t="s">
        <v>146</v>
      </c>
      <c r="D22" s="244"/>
      <c r="E22" s="248"/>
      <c r="F22" s="228"/>
      <c r="G22" s="228"/>
      <c r="H22" s="250"/>
      <c r="I22" s="229"/>
      <c r="J22" s="229"/>
      <c r="K22" s="228"/>
      <c r="L22" s="252"/>
      <c r="M22" s="228"/>
      <c r="N22" s="229"/>
      <c r="O22" s="228"/>
      <c r="P22" s="228"/>
      <c r="Q22" s="270"/>
      <c r="R22" s="273"/>
    </row>
    <row r="23" spans="1:19" ht="28.5" hidden="1" x14ac:dyDescent="0.2">
      <c r="B23" s="311"/>
      <c r="C23" s="274" t="s">
        <v>77</v>
      </c>
      <c r="D23" s="244" t="s">
        <v>20</v>
      </c>
      <c r="E23" s="248" t="s">
        <v>21</v>
      </c>
      <c r="F23" s="228" t="s">
        <v>22</v>
      </c>
      <c r="G23" s="249">
        <v>39086</v>
      </c>
      <c r="H23" s="250" t="s">
        <v>118</v>
      </c>
      <c r="I23" s="229">
        <v>244431.05</v>
      </c>
      <c r="J23" s="275">
        <v>1</v>
      </c>
      <c r="K23" s="228" t="s">
        <v>84</v>
      </c>
      <c r="L23" s="252" t="s">
        <v>8</v>
      </c>
      <c r="M23" s="228" t="s">
        <v>106</v>
      </c>
      <c r="N23" s="275">
        <v>1</v>
      </c>
      <c r="O23" s="253">
        <v>0</v>
      </c>
      <c r="P23" s="253">
        <v>0</v>
      </c>
      <c r="Q23" s="270" t="s">
        <v>135</v>
      </c>
      <c r="R23" s="276" t="s">
        <v>45</v>
      </c>
    </row>
    <row r="24" spans="1:19" s="277" customFormat="1" ht="57" x14ac:dyDescent="0.25">
      <c r="B24" s="323"/>
      <c r="C24" s="261"/>
      <c r="D24" s="244" t="s">
        <v>126</v>
      </c>
      <c r="E24" s="278" t="s">
        <v>127</v>
      </c>
      <c r="F24" s="279" t="s">
        <v>157</v>
      </c>
      <c r="G24" s="280">
        <v>44883</v>
      </c>
      <c r="H24" s="250" t="s">
        <v>128</v>
      </c>
      <c r="I24" s="229">
        <v>56400</v>
      </c>
      <c r="J24" s="275">
        <v>1</v>
      </c>
      <c r="K24" s="228" t="s">
        <v>85</v>
      </c>
      <c r="L24" s="281" t="s">
        <v>129</v>
      </c>
      <c r="M24" s="228" t="s">
        <v>105</v>
      </c>
      <c r="N24" s="275">
        <v>1</v>
      </c>
      <c r="O24" s="253">
        <v>0</v>
      </c>
      <c r="P24" s="253">
        <v>0</v>
      </c>
      <c r="Q24" s="254"/>
      <c r="R24" s="273"/>
      <c r="S24" s="282"/>
    </row>
    <row r="25" spans="1:19" s="277" customFormat="1" ht="28.5" hidden="1" x14ac:dyDescent="0.25">
      <c r="B25" s="323"/>
      <c r="C25" s="261"/>
      <c r="D25" s="267" t="s">
        <v>147</v>
      </c>
      <c r="E25" s="268" t="s">
        <v>148</v>
      </c>
      <c r="F25" s="228"/>
      <c r="G25" s="249">
        <v>38513</v>
      </c>
      <c r="H25" s="250" t="s">
        <v>128</v>
      </c>
      <c r="I25" s="283">
        <v>53665</v>
      </c>
      <c r="J25" s="275">
        <v>1</v>
      </c>
      <c r="K25" s="228" t="s">
        <v>84</v>
      </c>
      <c r="L25" s="252" t="s">
        <v>8</v>
      </c>
      <c r="M25" s="228" t="s">
        <v>106</v>
      </c>
      <c r="N25" s="275">
        <v>1</v>
      </c>
      <c r="O25" s="253">
        <v>0</v>
      </c>
      <c r="P25" s="253">
        <v>0</v>
      </c>
      <c r="Q25" s="270" t="s">
        <v>134</v>
      </c>
      <c r="R25" s="273"/>
      <c r="S25" s="282"/>
    </row>
    <row r="26" spans="1:19" ht="15" hidden="1" x14ac:dyDescent="0.2">
      <c r="B26" s="311"/>
      <c r="C26" s="247"/>
      <c r="D26" s="244"/>
      <c r="E26" s="248"/>
      <c r="F26" s="258" t="s">
        <v>82</v>
      </c>
      <c r="G26" s="258"/>
      <c r="H26" s="259"/>
      <c r="I26" s="260">
        <f>SUM(I23:I25)</f>
        <v>354496.05</v>
      </c>
      <c r="J26" s="260"/>
      <c r="K26" s="228"/>
      <c r="L26" s="284"/>
      <c r="M26" s="228"/>
      <c r="N26" s="260"/>
      <c r="O26" s="285"/>
      <c r="P26" s="228"/>
      <c r="Q26" s="254"/>
      <c r="R26" s="256"/>
    </row>
    <row r="27" spans="1:19" ht="15" hidden="1" x14ac:dyDescent="0.2">
      <c r="B27" s="241" t="s">
        <v>39</v>
      </c>
      <c r="D27" s="244"/>
      <c r="E27" s="248"/>
      <c r="F27" s="228"/>
      <c r="G27" s="228"/>
      <c r="H27" s="250"/>
      <c r="I27" s="229"/>
      <c r="J27" s="229"/>
      <c r="K27" s="228"/>
      <c r="L27" s="252"/>
      <c r="M27" s="228"/>
      <c r="N27" s="229"/>
      <c r="O27" s="228"/>
      <c r="P27" s="228"/>
      <c r="Q27" s="254"/>
      <c r="R27" s="286"/>
    </row>
    <row r="28" spans="1:19" hidden="1" x14ac:dyDescent="0.2">
      <c r="B28" s="311"/>
      <c r="C28" s="274"/>
      <c r="D28" s="244" t="s">
        <v>114</v>
      </c>
      <c r="E28" s="248" t="s">
        <v>115</v>
      </c>
      <c r="F28" s="228"/>
      <c r="G28" s="228"/>
      <c r="H28" s="250" t="s">
        <v>128</v>
      </c>
      <c r="I28" s="229">
        <v>99971.58</v>
      </c>
      <c r="J28" s="275">
        <v>1</v>
      </c>
      <c r="K28" s="228" t="s">
        <v>7</v>
      </c>
      <c r="L28" s="252" t="s">
        <v>14</v>
      </c>
      <c r="M28" s="228" t="s">
        <v>105</v>
      </c>
      <c r="N28" s="275">
        <v>1</v>
      </c>
      <c r="O28" s="253">
        <v>0</v>
      </c>
      <c r="P28" s="253">
        <v>0</v>
      </c>
      <c r="Q28" s="254"/>
      <c r="R28" s="256"/>
    </row>
    <row r="29" spans="1:19" ht="28.5" hidden="1" x14ac:dyDescent="0.2">
      <c r="B29" s="311"/>
      <c r="C29" s="274"/>
      <c r="D29" s="267" t="str">
        <f>UPPER("12 seater T-shape Conference Table")</f>
        <v>12 SEATER T-SHAPE CONFERENCE TABLE</v>
      </c>
      <c r="E29" s="268" t="s">
        <v>145</v>
      </c>
      <c r="F29" s="228"/>
      <c r="G29" s="249">
        <v>44208</v>
      </c>
      <c r="H29" s="250" t="s">
        <v>128</v>
      </c>
      <c r="I29" s="229">
        <v>97500</v>
      </c>
      <c r="J29" s="275">
        <v>1</v>
      </c>
      <c r="K29" s="228" t="s">
        <v>7</v>
      </c>
      <c r="L29" s="252" t="s">
        <v>153</v>
      </c>
      <c r="M29" s="228" t="s">
        <v>105</v>
      </c>
      <c r="N29" s="275"/>
      <c r="O29" s="253"/>
      <c r="P29" s="253"/>
      <c r="Q29" s="254"/>
      <c r="R29" s="256"/>
    </row>
    <row r="30" spans="1:19" ht="15" hidden="1" x14ac:dyDescent="0.2">
      <c r="B30" s="311"/>
      <c r="C30" s="274"/>
      <c r="D30" s="244"/>
      <c r="E30" s="248"/>
      <c r="F30" s="258" t="s">
        <v>82</v>
      </c>
      <c r="G30" s="258"/>
      <c r="H30" s="259"/>
      <c r="I30" s="260">
        <f>SUM(I28:I29)</f>
        <v>197471.58000000002</v>
      </c>
      <c r="J30" s="260"/>
      <c r="K30" s="228"/>
      <c r="L30" s="284"/>
      <c r="M30" s="228"/>
      <c r="N30" s="260"/>
      <c r="O30" s="285"/>
      <c r="P30" s="228"/>
      <c r="Q30" s="254"/>
      <c r="R30" s="256"/>
    </row>
    <row r="31" spans="1:19" ht="15" hidden="1" x14ac:dyDescent="0.2">
      <c r="A31" s="224">
        <v>8</v>
      </c>
      <c r="B31" s="241" t="s">
        <v>143</v>
      </c>
      <c r="D31" s="244"/>
      <c r="E31" s="248"/>
      <c r="F31" s="228"/>
      <c r="G31" s="228"/>
      <c r="H31" s="250"/>
      <c r="I31" s="229"/>
      <c r="J31" s="229"/>
      <c r="K31" s="228"/>
      <c r="L31" s="252"/>
      <c r="M31" s="228"/>
      <c r="N31" s="229"/>
      <c r="O31" s="228"/>
      <c r="P31" s="228"/>
      <c r="Q31" s="254"/>
      <c r="R31" s="286"/>
    </row>
    <row r="32" spans="1:19" ht="28.5" hidden="1" x14ac:dyDescent="0.2">
      <c r="B32" s="311"/>
      <c r="C32" s="247">
        <v>38737</v>
      </c>
      <c r="D32" s="244" t="s">
        <v>66</v>
      </c>
      <c r="E32" s="248" t="s">
        <v>36</v>
      </c>
      <c r="F32" s="228"/>
      <c r="G32" s="249">
        <v>38737</v>
      </c>
      <c r="H32" s="250" t="s">
        <v>124</v>
      </c>
      <c r="I32" s="229">
        <v>848000</v>
      </c>
      <c r="J32" s="275">
        <v>1</v>
      </c>
      <c r="K32" s="228" t="s">
        <v>125</v>
      </c>
      <c r="L32" s="252" t="s">
        <v>6</v>
      </c>
      <c r="M32" s="228" t="s">
        <v>105</v>
      </c>
      <c r="N32" s="275">
        <v>1</v>
      </c>
      <c r="O32" s="253">
        <v>0</v>
      </c>
      <c r="P32" s="253">
        <v>0</v>
      </c>
      <c r="Q32" s="254"/>
      <c r="R32" s="256" t="s">
        <v>51</v>
      </c>
    </row>
    <row r="33" spans="2:19" ht="42.75" hidden="1" x14ac:dyDescent="0.2">
      <c r="B33" s="311"/>
      <c r="C33" s="247">
        <v>42636</v>
      </c>
      <c r="D33" s="244" t="s">
        <v>37</v>
      </c>
      <c r="E33" s="248" t="s">
        <v>38</v>
      </c>
      <c r="F33" s="228"/>
      <c r="G33" s="249">
        <v>42636</v>
      </c>
      <c r="H33" s="250" t="s">
        <v>124</v>
      </c>
      <c r="I33" s="229">
        <v>1180000</v>
      </c>
      <c r="J33" s="275">
        <v>1</v>
      </c>
      <c r="K33" s="228" t="s">
        <v>74</v>
      </c>
      <c r="L33" s="252" t="s">
        <v>6</v>
      </c>
      <c r="M33" s="228" t="s">
        <v>105</v>
      </c>
      <c r="N33" s="275">
        <v>1</v>
      </c>
      <c r="O33" s="253">
        <v>0</v>
      </c>
      <c r="P33" s="253">
        <v>0</v>
      </c>
      <c r="Q33" s="254"/>
      <c r="R33" s="256" t="s">
        <v>52</v>
      </c>
    </row>
    <row r="34" spans="2:19" s="237" customFormat="1" ht="42.75" hidden="1" x14ac:dyDescent="0.25">
      <c r="B34" s="322"/>
      <c r="C34" s="287"/>
      <c r="D34" s="244" t="s">
        <v>122</v>
      </c>
      <c r="E34" s="248" t="s">
        <v>123</v>
      </c>
      <c r="G34" s="249">
        <v>44439</v>
      </c>
      <c r="H34" s="250" t="s">
        <v>124</v>
      </c>
      <c r="I34" s="229">
        <v>1397400</v>
      </c>
      <c r="J34" s="251">
        <v>1</v>
      </c>
      <c r="K34" s="228" t="s">
        <v>75</v>
      </c>
      <c r="L34" s="252" t="s">
        <v>6</v>
      </c>
      <c r="M34" s="228" t="s">
        <v>105</v>
      </c>
      <c r="N34" s="275">
        <v>1</v>
      </c>
      <c r="O34" s="253">
        <v>0</v>
      </c>
      <c r="P34" s="253">
        <v>0</v>
      </c>
      <c r="Q34" s="254"/>
      <c r="R34" s="288"/>
      <c r="S34" s="239"/>
    </row>
    <row r="35" spans="2:19" s="237" customFormat="1" ht="15" hidden="1" x14ac:dyDescent="0.25">
      <c r="B35" s="322"/>
      <c r="C35" s="262"/>
      <c r="D35" s="244"/>
      <c r="E35" s="248"/>
      <c r="F35" s="258" t="s">
        <v>82</v>
      </c>
      <c r="G35" s="228"/>
      <c r="H35" s="250"/>
      <c r="I35" s="260">
        <f>SUM(I32:I34)</f>
        <v>3425400</v>
      </c>
      <c r="J35" s="251"/>
      <c r="K35" s="228"/>
      <c r="L35" s="252"/>
      <c r="M35" s="228"/>
      <c r="N35" s="275"/>
      <c r="O35" s="258"/>
      <c r="P35" s="258"/>
      <c r="Q35" s="254"/>
      <c r="R35" s="288"/>
      <c r="S35" s="239"/>
    </row>
    <row r="36" spans="2:19" ht="15" hidden="1" x14ac:dyDescent="0.2">
      <c r="B36" s="241" t="s">
        <v>138</v>
      </c>
      <c r="D36" s="244"/>
      <c r="E36" s="248"/>
      <c r="F36" s="228"/>
      <c r="G36" s="228"/>
      <c r="H36" s="250"/>
      <c r="I36" s="229"/>
      <c r="J36" s="229"/>
      <c r="K36" s="228"/>
      <c r="L36" s="252"/>
      <c r="M36" s="228"/>
      <c r="N36" s="229"/>
      <c r="O36" s="253">
        <v>0</v>
      </c>
      <c r="P36" s="253">
        <v>0</v>
      </c>
      <c r="Q36" s="228"/>
      <c r="R36" s="286"/>
    </row>
    <row r="37" spans="2:19" ht="42.75" hidden="1" x14ac:dyDescent="0.2">
      <c r="B37" s="311"/>
      <c r="C37" s="274" t="s">
        <v>76</v>
      </c>
      <c r="D37" s="244" t="s">
        <v>9</v>
      </c>
      <c r="E37" s="248" t="s">
        <v>10</v>
      </c>
      <c r="F37" s="228">
        <v>2486201743</v>
      </c>
      <c r="G37" s="249">
        <v>40919</v>
      </c>
      <c r="H37" s="250" t="s">
        <v>128</v>
      </c>
      <c r="I37" s="229">
        <v>55000</v>
      </c>
      <c r="J37" s="275">
        <v>1</v>
      </c>
      <c r="K37" s="228" t="s">
        <v>19</v>
      </c>
      <c r="L37" s="252" t="s">
        <v>83</v>
      </c>
      <c r="M37" s="228" t="s">
        <v>105</v>
      </c>
      <c r="N37" s="275">
        <v>1</v>
      </c>
      <c r="O37" s="253">
        <v>0</v>
      </c>
      <c r="P37" s="253">
        <v>0</v>
      </c>
      <c r="Q37" s="254"/>
      <c r="R37" s="256" t="s">
        <v>41</v>
      </c>
    </row>
    <row r="38" spans="2:19" ht="28.5" hidden="1" x14ac:dyDescent="0.2">
      <c r="B38" s="311"/>
      <c r="C38" s="247">
        <v>41269</v>
      </c>
      <c r="D38" s="244" t="s">
        <v>11</v>
      </c>
      <c r="E38" s="248" t="s">
        <v>12</v>
      </c>
      <c r="F38" s="228" t="s">
        <v>13</v>
      </c>
      <c r="G38" s="249">
        <v>41269</v>
      </c>
      <c r="H38" s="250" t="s">
        <v>128</v>
      </c>
      <c r="I38" s="229">
        <v>81600</v>
      </c>
      <c r="J38" s="275">
        <v>1</v>
      </c>
      <c r="K38" s="228" t="s">
        <v>7</v>
      </c>
      <c r="L38" s="252" t="s">
        <v>14</v>
      </c>
      <c r="M38" s="228" t="s">
        <v>105</v>
      </c>
      <c r="N38" s="275">
        <v>1</v>
      </c>
      <c r="O38" s="253">
        <v>0</v>
      </c>
      <c r="P38" s="253">
        <v>0</v>
      </c>
      <c r="Q38" s="254"/>
      <c r="R38" s="256" t="s">
        <v>42</v>
      </c>
    </row>
    <row r="39" spans="2:19" ht="28.5" hidden="1" x14ac:dyDescent="0.2">
      <c r="B39" s="311"/>
      <c r="C39" s="247">
        <v>41269</v>
      </c>
      <c r="D39" s="244" t="s">
        <v>11</v>
      </c>
      <c r="E39" s="248" t="s">
        <v>15</v>
      </c>
      <c r="F39" s="228" t="s">
        <v>16</v>
      </c>
      <c r="G39" s="249">
        <v>41269</v>
      </c>
      <c r="H39" s="250" t="s">
        <v>128</v>
      </c>
      <c r="I39" s="229">
        <v>81600</v>
      </c>
      <c r="J39" s="275">
        <v>1</v>
      </c>
      <c r="K39" s="228" t="s">
        <v>7</v>
      </c>
      <c r="L39" s="252" t="s">
        <v>14</v>
      </c>
      <c r="M39" s="228" t="s">
        <v>105</v>
      </c>
      <c r="N39" s="275">
        <v>1</v>
      </c>
      <c r="O39" s="253">
        <v>0</v>
      </c>
      <c r="P39" s="253">
        <v>0</v>
      </c>
      <c r="Q39" s="254"/>
      <c r="R39" s="256" t="s">
        <v>43</v>
      </c>
    </row>
    <row r="40" spans="2:19" ht="28.5" hidden="1" x14ac:dyDescent="0.2">
      <c r="B40" s="311"/>
      <c r="C40" s="247">
        <v>42718</v>
      </c>
      <c r="D40" s="244" t="s">
        <v>17</v>
      </c>
      <c r="E40" s="248" t="s">
        <v>18</v>
      </c>
      <c r="F40" s="228"/>
      <c r="G40" s="249">
        <v>42718</v>
      </c>
      <c r="H40" s="250" t="s">
        <v>128</v>
      </c>
      <c r="I40" s="229">
        <v>68000</v>
      </c>
      <c r="J40" s="275">
        <v>1</v>
      </c>
      <c r="K40" s="228" t="s">
        <v>73</v>
      </c>
      <c r="L40" s="252" t="s">
        <v>109</v>
      </c>
      <c r="M40" s="228" t="s">
        <v>105</v>
      </c>
      <c r="N40" s="275">
        <v>1</v>
      </c>
      <c r="O40" s="253">
        <v>0</v>
      </c>
      <c r="P40" s="253">
        <v>0</v>
      </c>
      <c r="Q40" s="254"/>
      <c r="R40" s="256" t="s">
        <v>44</v>
      </c>
    </row>
    <row r="41" spans="2:19" ht="28.5" hidden="1" x14ac:dyDescent="0.2">
      <c r="B41" s="311"/>
      <c r="C41" s="247"/>
      <c r="D41" s="289" t="s">
        <v>139</v>
      </c>
      <c r="E41" s="228" t="s">
        <v>140</v>
      </c>
      <c r="F41" s="228"/>
      <c r="G41" s="249">
        <v>44656</v>
      </c>
      <c r="H41" s="250" t="s">
        <v>128</v>
      </c>
      <c r="I41" s="229">
        <v>106000</v>
      </c>
      <c r="J41" s="275">
        <v>1</v>
      </c>
      <c r="K41" s="228" t="s">
        <v>7</v>
      </c>
      <c r="L41" s="252" t="s">
        <v>141</v>
      </c>
      <c r="M41" s="228" t="s">
        <v>105</v>
      </c>
      <c r="N41" s="275">
        <v>1</v>
      </c>
      <c r="O41" s="253"/>
      <c r="P41" s="253"/>
      <c r="Q41" s="254"/>
      <c r="R41" s="256"/>
    </row>
    <row r="42" spans="2:19" s="237" customFormat="1" ht="15" hidden="1" x14ac:dyDescent="0.25">
      <c r="B42" s="322"/>
      <c r="C42" s="287"/>
      <c r="D42" s="263"/>
      <c r="E42" s="264"/>
      <c r="F42" s="258" t="s">
        <v>82</v>
      </c>
      <c r="G42" s="258"/>
      <c r="H42" s="250"/>
      <c r="I42" s="260">
        <f>SUM(I37:I41)</f>
        <v>392200</v>
      </c>
      <c r="J42" s="260"/>
      <c r="K42" s="258"/>
      <c r="L42" s="265"/>
      <c r="M42" s="258"/>
      <c r="N42" s="260"/>
      <c r="O42" s="258"/>
      <c r="P42" s="258"/>
      <c r="Q42" s="254"/>
      <c r="R42" s="288"/>
      <c r="S42" s="239"/>
    </row>
    <row r="43" spans="2:19" ht="15" hidden="1" x14ac:dyDescent="0.2">
      <c r="B43" s="241" t="s">
        <v>144</v>
      </c>
      <c r="D43" s="244"/>
      <c r="E43" s="248"/>
      <c r="F43" s="228"/>
      <c r="G43" s="228"/>
      <c r="H43" s="250"/>
      <c r="I43" s="229"/>
      <c r="J43" s="229"/>
      <c r="K43" s="228"/>
      <c r="L43" s="252"/>
      <c r="M43" s="228"/>
      <c r="N43" s="229"/>
      <c r="O43" s="228"/>
      <c r="P43" s="228"/>
      <c r="Q43" s="254"/>
      <c r="R43" s="286"/>
    </row>
    <row r="44" spans="2:19" ht="42.75" hidden="1" x14ac:dyDescent="0.2">
      <c r="B44" s="311"/>
      <c r="C44" s="274" t="s">
        <v>78</v>
      </c>
      <c r="D44" s="244" t="s">
        <v>24</v>
      </c>
      <c r="E44" s="248" t="s">
        <v>25</v>
      </c>
      <c r="F44" s="228">
        <v>1227070326</v>
      </c>
      <c r="G44" s="249">
        <v>38952</v>
      </c>
      <c r="H44" s="250" t="s">
        <v>118</v>
      </c>
      <c r="I44" s="229">
        <v>80590</v>
      </c>
      <c r="J44" s="275">
        <v>1</v>
      </c>
      <c r="K44" s="228" t="s">
        <v>73</v>
      </c>
      <c r="L44" s="252" t="s">
        <v>109</v>
      </c>
      <c r="M44" s="228" t="s">
        <v>105</v>
      </c>
      <c r="N44" s="275">
        <v>1</v>
      </c>
      <c r="O44" s="253">
        <v>0</v>
      </c>
      <c r="P44" s="253">
        <v>0</v>
      </c>
      <c r="Q44" s="254"/>
      <c r="R44" s="256" t="s">
        <v>46</v>
      </c>
    </row>
    <row r="45" spans="2:19" ht="42.75" hidden="1" x14ac:dyDescent="0.2">
      <c r="B45" s="311"/>
      <c r="C45" s="274" t="s">
        <v>79</v>
      </c>
      <c r="D45" s="244" t="s">
        <v>26</v>
      </c>
      <c r="E45" s="248" t="s">
        <v>27</v>
      </c>
      <c r="F45" s="228" t="s">
        <v>28</v>
      </c>
      <c r="G45" s="249">
        <v>39352</v>
      </c>
      <c r="H45" s="250" t="s">
        <v>118</v>
      </c>
      <c r="I45" s="229">
        <v>55000</v>
      </c>
      <c r="J45" s="275">
        <v>1</v>
      </c>
      <c r="K45" s="228" t="s">
        <v>73</v>
      </c>
      <c r="L45" s="252" t="s">
        <v>109</v>
      </c>
      <c r="M45" s="228" t="s">
        <v>105</v>
      </c>
      <c r="N45" s="275">
        <v>1</v>
      </c>
      <c r="O45" s="253">
        <v>0</v>
      </c>
      <c r="P45" s="253">
        <v>0</v>
      </c>
      <c r="Q45" s="254"/>
      <c r="R45" s="256" t="s">
        <v>47</v>
      </c>
    </row>
    <row r="46" spans="2:19" ht="42.75" hidden="1" x14ac:dyDescent="0.2">
      <c r="B46" s="311"/>
      <c r="C46" s="274" t="s">
        <v>80</v>
      </c>
      <c r="D46" s="244" t="s">
        <v>29</v>
      </c>
      <c r="E46" s="248" t="s">
        <v>30</v>
      </c>
      <c r="F46" s="228">
        <v>10050233</v>
      </c>
      <c r="G46" s="249">
        <v>40595</v>
      </c>
      <c r="H46" s="250" t="s">
        <v>118</v>
      </c>
      <c r="I46" s="229">
        <v>299500</v>
      </c>
      <c r="J46" s="275">
        <v>1</v>
      </c>
      <c r="K46" s="228" t="s">
        <v>73</v>
      </c>
      <c r="L46" s="252" t="s">
        <v>109</v>
      </c>
      <c r="M46" s="228" t="s">
        <v>105</v>
      </c>
      <c r="N46" s="275">
        <v>1</v>
      </c>
      <c r="O46" s="253">
        <v>0</v>
      </c>
      <c r="P46" s="253">
        <v>0</v>
      </c>
      <c r="Q46" s="254"/>
      <c r="R46" s="256" t="s">
        <v>48</v>
      </c>
    </row>
    <row r="47" spans="2:19" ht="28.5" hidden="1" x14ac:dyDescent="0.2">
      <c r="B47" s="311"/>
      <c r="C47" s="274" t="s">
        <v>81</v>
      </c>
      <c r="D47" s="244" t="s">
        <v>31</v>
      </c>
      <c r="E47" s="248" t="s">
        <v>32</v>
      </c>
      <c r="F47" s="228"/>
      <c r="G47" s="249">
        <v>42857</v>
      </c>
      <c r="H47" s="250" t="s">
        <v>118</v>
      </c>
      <c r="I47" s="229">
        <v>63930</v>
      </c>
      <c r="J47" s="275">
        <v>1</v>
      </c>
      <c r="K47" s="228" t="s">
        <v>73</v>
      </c>
      <c r="L47" s="252" t="s">
        <v>109</v>
      </c>
      <c r="M47" s="228" t="s">
        <v>105</v>
      </c>
      <c r="N47" s="275">
        <v>1</v>
      </c>
      <c r="O47" s="253">
        <v>0</v>
      </c>
      <c r="P47" s="253">
        <v>0</v>
      </c>
      <c r="Q47" s="254"/>
      <c r="R47" s="256" t="s">
        <v>49</v>
      </c>
    </row>
    <row r="48" spans="2:19" ht="28.5" hidden="1" x14ac:dyDescent="0.2">
      <c r="B48" s="311"/>
      <c r="C48" s="247">
        <v>41591</v>
      </c>
      <c r="D48" s="244" t="s">
        <v>33</v>
      </c>
      <c r="E48" s="248" t="s">
        <v>34</v>
      </c>
      <c r="F48" s="228" t="s">
        <v>35</v>
      </c>
      <c r="G48" s="249">
        <v>41591</v>
      </c>
      <c r="H48" s="250" t="s">
        <v>128</v>
      </c>
      <c r="I48" s="229">
        <v>248000</v>
      </c>
      <c r="J48" s="275">
        <v>1</v>
      </c>
      <c r="K48" s="228" t="s">
        <v>73</v>
      </c>
      <c r="L48" s="252" t="s">
        <v>109</v>
      </c>
      <c r="M48" s="228" t="s">
        <v>105</v>
      </c>
      <c r="N48" s="275">
        <v>1</v>
      </c>
      <c r="O48" s="253">
        <v>0</v>
      </c>
      <c r="P48" s="253">
        <v>0</v>
      </c>
      <c r="Q48" s="254"/>
      <c r="R48" s="256" t="s">
        <v>50</v>
      </c>
    </row>
    <row r="49" spans="1:19" x14ac:dyDescent="0.2">
      <c r="B49" s="311"/>
      <c r="C49" s="247"/>
      <c r="D49" s="244"/>
      <c r="E49" s="248"/>
      <c r="F49" s="228"/>
      <c r="G49" s="280"/>
      <c r="H49" s="250"/>
      <c r="I49" s="229"/>
      <c r="J49" s="275"/>
      <c r="K49" s="228"/>
      <c r="L49" s="252"/>
      <c r="M49" s="228"/>
      <c r="N49" s="275"/>
      <c r="O49" s="253"/>
      <c r="P49" s="253"/>
      <c r="Q49" s="254"/>
      <c r="R49" s="256"/>
    </row>
    <row r="50" spans="1:19" x14ac:dyDescent="0.2">
      <c r="B50" s="311"/>
      <c r="C50" s="247"/>
      <c r="D50" s="244"/>
      <c r="E50" s="248"/>
      <c r="F50" s="228"/>
      <c r="G50" s="290"/>
      <c r="H50" s="250"/>
      <c r="I50" s="229"/>
      <c r="J50" s="275"/>
      <c r="K50" s="228"/>
      <c r="L50" s="252"/>
      <c r="M50" s="228"/>
      <c r="N50" s="275"/>
      <c r="O50" s="253"/>
      <c r="P50" s="253"/>
      <c r="Q50" s="254"/>
      <c r="R50" s="256"/>
    </row>
    <row r="51" spans="1:19" s="237" customFormat="1" ht="15" x14ac:dyDescent="0.25">
      <c r="B51" s="322"/>
      <c r="C51" s="287"/>
      <c r="D51" s="263"/>
      <c r="E51" s="264"/>
      <c r="F51" s="258"/>
      <c r="G51" s="258"/>
      <c r="H51" s="259"/>
      <c r="I51" s="260"/>
      <c r="J51" s="260"/>
      <c r="K51" s="258"/>
      <c r="L51" s="291"/>
      <c r="M51" s="258"/>
      <c r="N51" s="260"/>
      <c r="O51" s="292"/>
      <c r="P51" s="258"/>
      <c r="Q51" s="254"/>
      <c r="R51" s="288"/>
      <c r="S51" s="239"/>
    </row>
    <row r="52" spans="1:19" ht="15" x14ac:dyDescent="0.2">
      <c r="B52" s="241"/>
      <c r="D52" s="244"/>
      <c r="E52" s="248"/>
      <c r="F52" s="228"/>
      <c r="G52" s="228"/>
      <c r="H52" s="250"/>
      <c r="I52" s="229"/>
      <c r="J52" s="275"/>
      <c r="K52" s="228"/>
      <c r="L52" s="252"/>
      <c r="M52" s="228"/>
      <c r="N52" s="275"/>
      <c r="O52" s="253"/>
      <c r="P52" s="253"/>
      <c r="Q52" s="254"/>
      <c r="R52" s="286"/>
    </row>
    <row r="53" spans="1:19" x14ac:dyDescent="0.2">
      <c r="B53" s="311"/>
      <c r="C53" s="293"/>
      <c r="D53" s="294"/>
      <c r="E53" s="295"/>
      <c r="F53" s="254"/>
      <c r="G53" s="254"/>
      <c r="H53" s="250"/>
      <c r="I53" s="296"/>
      <c r="J53" s="275"/>
      <c r="K53" s="254"/>
      <c r="L53" s="297"/>
      <c r="M53" s="254"/>
      <c r="N53" s="275"/>
      <c r="O53" s="253"/>
      <c r="P53" s="253"/>
      <c r="Q53" s="254"/>
      <c r="R53" s="298"/>
    </row>
    <row r="54" spans="1:19" ht="15" x14ac:dyDescent="0.25">
      <c r="A54" s="299"/>
      <c r="B54" s="311"/>
      <c r="C54" s="300"/>
      <c r="D54" s="301"/>
      <c r="E54" s="302"/>
      <c r="F54" s="258"/>
      <c r="G54" s="258"/>
      <c r="H54" s="259"/>
      <c r="I54" s="303"/>
      <c r="J54" s="303"/>
      <c r="K54" s="304"/>
      <c r="L54" s="305"/>
      <c r="M54" s="304"/>
      <c r="N54" s="303"/>
      <c r="O54" s="306"/>
      <c r="P54" s="304"/>
      <c r="Q54" s="304"/>
    </row>
    <row r="57" spans="1:19" x14ac:dyDescent="0.2">
      <c r="D57" s="227" t="s">
        <v>677</v>
      </c>
      <c r="G57" s="224"/>
      <c r="H57" s="227" t="s">
        <v>679</v>
      </c>
      <c r="L57" s="227"/>
      <c r="M57" s="224" t="s">
        <v>680</v>
      </c>
      <c r="O57" s="233" t="s">
        <v>680</v>
      </c>
    </row>
    <row r="58" spans="1:19" x14ac:dyDescent="0.2">
      <c r="D58" s="227"/>
      <c r="G58" s="224"/>
      <c r="H58" s="227"/>
      <c r="L58" s="227"/>
      <c r="O58" s="233"/>
    </row>
    <row r="59" spans="1:19" x14ac:dyDescent="0.2">
      <c r="D59" s="227"/>
      <c r="G59" s="224"/>
      <c r="H59" s="227"/>
      <c r="L59" s="227"/>
      <c r="O59" s="233"/>
    </row>
    <row r="60" spans="1:19" ht="15" x14ac:dyDescent="0.25">
      <c r="D60" s="307" t="s">
        <v>673</v>
      </c>
      <c r="G60" s="224"/>
      <c r="H60" s="307" t="s">
        <v>85</v>
      </c>
      <c r="L60" s="307"/>
      <c r="M60" s="223"/>
      <c r="O60" s="308"/>
      <c r="P60" s="309"/>
    </row>
    <row r="61" spans="1:19" x14ac:dyDescent="0.2">
      <c r="D61" s="227" t="s">
        <v>678</v>
      </c>
      <c r="G61" s="224"/>
      <c r="H61" s="227" t="s">
        <v>133</v>
      </c>
      <c r="L61" s="227"/>
      <c r="M61" s="224" t="s">
        <v>681</v>
      </c>
      <c r="O61" s="233" t="s">
        <v>681</v>
      </c>
    </row>
    <row r="67" spans="2:19" s="233" customFormat="1" x14ac:dyDescent="0.2">
      <c r="B67" s="310"/>
      <c r="C67" s="224"/>
      <c r="D67" s="224"/>
      <c r="E67" s="232"/>
      <c r="F67" s="227"/>
      <c r="G67" s="227"/>
      <c r="H67" s="226"/>
      <c r="K67" s="227"/>
      <c r="L67" s="230"/>
      <c r="M67" s="227"/>
      <c r="O67" s="227"/>
      <c r="P67" s="227"/>
      <c r="Q67" s="227"/>
      <c r="R67" s="224"/>
      <c r="S67" s="310"/>
    </row>
    <row r="68" spans="2:19" s="233" customFormat="1" x14ac:dyDescent="0.2">
      <c r="B68" s="310"/>
      <c r="C68" s="224"/>
      <c r="D68" s="224"/>
      <c r="E68" s="232"/>
      <c r="F68" s="227"/>
      <c r="G68" s="227"/>
      <c r="H68" s="226"/>
      <c r="K68" s="227"/>
      <c r="L68" s="230"/>
      <c r="M68" s="227"/>
      <c r="O68" s="227"/>
      <c r="P68" s="227"/>
      <c r="Q68" s="227"/>
      <c r="R68" s="224"/>
      <c r="S68" s="310"/>
    </row>
  </sheetData>
  <autoFilter ref="K1:K68"/>
  <mergeCells count="20">
    <mergeCell ref="Q1:R1"/>
    <mergeCell ref="B2:Q2"/>
    <mergeCell ref="B3:Q3"/>
    <mergeCell ref="B4:Q4"/>
    <mergeCell ref="B6:Q6"/>
    <mergeCell ref="B7:Q7"/>
    <mergeCell ref="B12:B13"/>
    <mergeCell ref="D12:D13"/>
    <mergeCell ref="E12:E13"/>
    <mergeCell ref="F12:F13"/>
    <mergeCell ref="G12:G13"/>
    <mergeCell ref="O12:P12"/>
    <mergeCell ref="Q12:Q13"/>
    <mergeCell ref="I12:I13"/>
    <mergeCell ref="J12:J13"/>
    <mergeCell ref="K12:K13"/>
    <mergeCell ref="L12:L13"/>
    <mergeCell ref="M12:M13"/>
    <mergeCell ref="N12:N13"/>
    <mergeCell ref="H12:H13"/>
  </mergeCells>
  <conditionalFormatting sqref="M24 M26:M53 M20:M22 M14:M18">
    <cfRule type="cellIs" dxfId="35" priority="6" operator="equal">
      <formula>#REF!</formula>
    </cfRule>
  </conditionalFormatting>
  <conditionalFormatting sqref="E41">
    <cfRule type="duplicateValues" dxfId="34" priority="5"/>
  </conditionalFormatting>
  <conditionalFormatting sqref="M23">
    <cfRule type="cellIs" dxfId="33" priority="4" operator="equal">
      <formula>#REF!</formula>
    </cfRule>
  </conditionalFormatting>
  <conditionalFormatting sqref="M25">
    <cfRule type="cellIs" dxfId="32" priority="3" operator="equal">
      <formula>#REF!</formula>
    </cfRule>
  </conditionalFormatting>
  <conditionalFormatting sqref="M19">
    <cfRule type="cellIs" dxfId="31" priority="2" operator="equal">
      <formula>#REF!</formula>
    </cfRule>
  </conditionalFormatting>
  <conditionalFormatting sqref="E20">
    <cfRule type="duplicateValues" dxfId="30" priority="1"/>
  </conditionalFormatting>
  <hyperlinks>
    <hyperlink ref="R37" r:id="rId1"/>
    <hyperlink ref="R38" r:id="rId2"/>
    <hyperlink ref="R39" r:id="rId3"/>
    <hyperlink ref="R40" r:id="rId4"/>
    <hyperlink ref="R44" r:id="rId5"/>
    <hyperlink ref="R45" r:id="rId6"/>
    <hyperlink ref="R46" r:id="rId7"/>
    <hyperlink ref="R47" r:id="rId8"/>
    <hyperlink ref="R48" r:id="rId9"/>
    <hyperlink ref="R32" r:id="rId10"/>
    <hyperlink ref="R33" r:id="rId11"/>
    <hyperlink ref="R15" r:id="rId12"/>
    <hyperlink ref="R23" r:id="rId13"/>
  </hyperlinks>
  <printOptions horizontalCentered="1"/>
  <pageMargins left="0.11811023622047245" right="0.11811023622047245" top="0.39370078740157483" bottom="0.39370078740157483" header="0" footer="0"/>
  <pageSetup paperSize="14" scale="85" fitToWidth="0" fitToHeight="0" orientation="landscape" horizontalDpi="0" verticalDpi="0" r:id="rId14"/>
  <headerFooter>
    <oddFooter>&amp;C&amp;P OF &amp;N</oddFooter>
  </headerFooter>
  <colBreaks count="1" manualBreakCount="1">
    <brk id="17" max="60" man="1"/>
  </colBreaks>
  <legacyDrawing r:id="rId1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
  <sheetViews>
    <sheetView showGridLines="0" view="pageBreakPreview" topLeftCell="B1" zoomScale="110" zoomScaleNormal="140" zoomScaleSheetLayoutView="110" workbookViewId="0">
      <pane ySplit="13" topLeftCell="A14" activePane="bottomLeft" state="frozen"/>
      <selection activeCell="D1" sqref="D1"/>
      <selection pane="bottomLeft" activeCell="O26" sqref="O26:O30"/>
    </sheetView>
  </sheetViews>
  <sheetFormatPr defaultRowHeight="14.25" x14ac:dyDescent="0.2"/>
  <cols>
    <col min="1" max="1" width="4.42578125" style="224" hidden="1" customWidth="1"/>
    <col min="2" max="2" width="11.5703125" style="232" customWidth="1"/>
    <col min="3" max="3" width="10.28515625" style="224" hidden="1" customWidth="1"/>
    <col min="4" max="4" width="41.140625" style="224" customWidth="1"/>
    <col min="5" max="5" width="28.42578125" style="232" customWidth="1"/>
    <col min="6" max="6" width="9.28515625" style="227" hidden="1" customWidth="1"/>
    <col min="7" max="7" width="12.140625" style="227" hidden="1" customWidth="1"/>
    <col min="8" max="8" width="9" style="226" customWidth="1"/>
    <col min="9" max="9" width="16.7109375" style="233" customWidth="1"/>
    <col min="10" max="10" width="11.42578125" style="233" customWidth="1"/>
    <col min="11" max="11" width="29.85546875" style="227" hidden="1" customWidth="1"/>
    <col min="12" max="12" width="17.5703125" style="230" hidden="1" customWidth="1"/>
    <col min="13" max="13" width="12.5703125" style="227" hidden="1" customWidth="1"/>
    <col min="14" max="14" width="11.42578125" style="233" customWidth="1"/>
    <col min="15" max="15" width="10.7109375" style="227" customWidth="1"/>
    <col min="16" max="16" width="11" style="227" customWidth="1"/>
    <col min="17" max="17" width="20.28515625" style="227" customWidth="1"/>
    <col min="18" max="18" width="10.85546875" style="224" hidden="1" customWidth="1"/>
    <col min="19" max="19" width="17.7109375" style="232" customWidth="1"/>
    <col min="20" max="16384" width="9.140625" style="224"/>
  </cols>
  <sheetData>
    <row r="1" spans="2:19" x14ac:dyDescent="0.2">
      <c r="D1" s="230"/>
      <c r="E1" s="231"/>
      <c r="I1" s="230"/>
      <c r="J1" s="230"/>
      <c r="N1" s="230"/>
      <c r="Q1" s="451" t="s">
        <v>119</v>
      </c>
      <c r="R1" s="451"/>
    </row>
    <row r="2" spans="2:19" x14ac:dyDescent="0.2">
      <c r="B2" s="452" t="s">
        <v>96</v>
      </c>
      <c r="C2" s="452"/>
      <c r="D2" s="452"/>
      <c r="E2" s="452"/>
      <c r="F2" s="452"/>
      <c r="G2" s="452"/>
      <c r="H2" s="452"/>
      <c r="I2" s="452"/>
      <c r="J2" s="452"/>
      <c r="K2" s="452"/>
      <c r="L2" s="452"/>
      <c r="M2" s="452"/>
      <c r="N2" s="452"/>
      <c r="O2" s="452"/>
      <c r="P2" s="452"/>
      <c r="Q2" s="452"/>
    </row>
    <row r="3" spans="2:19" x14ac:dyDescent="0.2">
      <c r="B3" s="452" t="s">
        <v>121</v>
      </c>
      <c r="C3" s="452"/>
      <c r="D3" s="452"/>
      <c r="E3" s="452"/>
      <c r="F3" s="452"/>
      <c r="G3" s="452"/>
      <c r="H3" s="452"/>
      <c r="I3" s="452"/>
      <c r="J3" s="452"/>
      <c r="K3" s="452"/>
      <c r="L3" s="452"/>
      <c r="M3" s="452"/>
      <c r="N3" s="452"/>
      <c r="O3" s="452"/>
      <c r="P3" s="452"/>
      <c r="Q3" s="452"/>
    </row>
    <row r="4" spans="2:19" x14ac:dyDescent="0.2">
      <c r="B4" s="452" t="s">
        <v>137</v>
      </c>
      <c r="C4" s="452"/>
      <c r="D4" s="452"/>
      <c r="E4" s="452"/>
      <c r="F4" s="452"/>
      <c r="G4" s="452"/>
      <c r="H4" s="452"/>
      <c r="I4" s="452"/>
      <c r="J4" s="452"/>
      <c r="K4" s="452"/>
      <c r="L4" s="452"/>
      <c r="M4" s="452"/>
      <c r="N4" s="452"/>
      <c r="O4" s="452"/>
      <c r="P4" s="452"/>
      <c r="Q4" s="452"/>
    </row>
    <row r="5" spans="2:19" x14ac:dyDescent="0.2">
      <c r="L5" s="234"/>
      <c r="O5" s="235"/>
      <c r="P5" s="236"/>
    </row>
    <row r="6" spans="2:19" x14ac:dyDescent="0.2">
      <c r="B6" s="452" t="s">
        <v>120</v>
      </c>
      <c r="C6" s="452"/>
      <c r="D6" s="452"/>
      <c r="E6" s="452"/>
      <c r="F6" s="452"/>
      <c r="G6" s="452"/>
      <c r="H6" s="452"/>
      <c r="I6" s="452"/>
      <c r="J6" s="452"/>
      <c r="K6" s="452"/>
      <c r="L6" s="452"/>
      <c r="M6" s="452"/>
      <c r="N6" s="452"/>
      <c r="O6" s="452"/>
      <c r="P6" s="452"/>
      <c r="Q6" s="452"/>
    </row>
    <row r="7" spans="2:19" ht="15" x14ac:dyDescent="0.2">
      <c r="B7" s="464"/>
      <c r="C7" s="464"/>
      <c r="D7" s="464"/>
      <c r="E7" s="464"/>
      <c r="F7" s="464"/>
      <c r="G7" s="464"/>
      <c r="H7" s="464"/>
      <c r="I7" s="464"/>
      <c r="J7" s="464"/>
      <c r="K7" s="464"/>
      <c r="L7" s="464"/>
      <c r="M7" s="464"/>
      <c r="N7" s="464"/>
      <c r="O7" s="464"/>
      <c r="P7" s="464"/>
      <c r="Q7" s="464"/>
    </row>
    <row r="8" spans="2:19" x14ac:dyDescent="0.2">
      <c r="B8" s="324"/>
      <c r="C8" s="320"/>
      <c r="D8" s="320"/>
      <c r="E8" s="320"/>
      <c r="F8" s="320"/>
      <c r="G8" s="320"/>
      <c r="H8" s="320"/>
      <c r="I8" s="320"/>
      <c r="J8" s="320"/>
      <c r="K8" s="320"/>
      <c r="L8" s="320"/>
      <c r="M8" s="320"/>
      <c r="N8" s="320"/>
      <c r="O8" s="320"/>
      <c r="P8" s="320"/>
      <c r="Q8" s="320"/>
    </row>
    <row r="9" spans="2:19" x14ac:dyDescent="0.2">
      <c r="B9" s="232" t="s">
        <v>682</v>
      </c>
    </row>
    <row r="10" spans="2:19" x14ac:dyDescent="0.2">
      <c r="B10" s="232" t="s">
        <v>687</v>
      </c>
    </row>
    <row r="11" spans="2:19" ht="4.5" customHeight="1" x14ac:dyDescent="0.2"/>
    <row r="12" spans="2:19" s="237" customFormat="1" ht="37.5" customHeight="1" x14ac:dyDescent="0.25">
      <c r="B12" s="462" t="s">
        <v>110</v>
      </c>
      <c r="C12" s="238" t="s">
        <v>1</v>
      </c>
      <c r="D12" s="457" t="s">
        <v>97</v>
      </c>
      <c r="E12" s="462" t="s">
        <v>116</v>
      </c>
      <c r="F12" s="457" t="s">
        <v>155</v>
      </c>
      <c r="G12" s="457" t="s">
        <v>156</v>
      </c>
      <c r="H12" s="457" t="s">
        <v>136</v>
      </c>
      <c r="I12" s="453" t="s">
        <v>98</v>
      </c>
      <c r="J12" s="453" t="s">
        <v>132</v>
      </c>
      <c r="K12" s="457" t="s">
        <v>3</v>
      </c>
      <c r="L12" s="457" t="s">
        <v>2</v>
      </c>
      <c r="M12" s="457" t="s">
        <v>101</v>
      </c>
      <c r="N12" s="453" t="s">
        <v>100</v>
      </c>
      <c r="O12" s="455" t="s">
        <v>131</v>
      </c>
      <c r="P12" s="456"/>
      <c r="Q12" s="457" t="s">
        <v>99</v>
      </c>
      <c r="R12" s="238" t="s">
        <v>4</v>
      </c>
      <c r="S12" s="239"/>
    </row>
    <row r="13" spans="2:19" s="237" customFormat="1" ht="16.5" customHeight="1" x14ac:dyDescent="0.25">
      <c r="B13" s="463"/>
      <c r="C13" s="240"/>
      <c r="D13" s="458"/>
      <c r="E13" s="463"/>
      <c r="F13" s="458"/>
      <c r="G13" s="458"/>
      <c r="H13" s="458"/>
      <c r="I13" s="454"/>
      <c r="J13" s="454"/>
      <c r="K13" s="458"/>
      <c r="L13" s="458"/>
      <c r="M13" s="458"/>
      <c r="N13" s="454"/>
      <c r="O13" s="238" t="s">
        <v>130</v>
      </c>
      <c r="P13" s="238" t="s">
        <v>117</v>
      </c>
      <c r="Q13" s="458"/>
      <c r="R13" s="238"/>
      <c r="S13" s="239"/>
    </row>
    <row r="14" spans="2:19" s="237" customFormat="1" ht="15" x14ac:dyDescent="0.25">
      <c r="B14" s="241" t="s">
        <v>149</v>
      </c>
      <c r="C14" s="262"/>
      <c r="D14" s="263"/>
      <c r="E14" s="264"/>
      <c r="F14" s="258"/>
      <c r="G14" s="258"/>
      <c r="H14" s="250"/>
      <c r="I14" s="260"/>
      <c r="J14" s="260"/>
      <c r="K14" s="258"/>
      <c r="L14" s="265"/>
      <c r="M14" s="258"/>
      <c r="N14" s="260"/>
      <c r="O14" s="258"/>
      <c r="P14" s="258"/>
      <c r="Q14" s="254"/>
      <c r="R14" s="266"/>
      <c r="S14" s="239"/>
    </row>
    <row r="15" spans="2:19" s="237" customFormat="1" ht="28.5" x14ac:dyDescent="0.25">
      <c r="B15" s="241"/>
      <c r="C15" s="262"/>
      <c r="D15" s="267" t="s">
        <v>150</v>
      </c>
      <c r="E15" s="268" t="s">
        <v>151</v>
      </c>
      <c r="F15" s="258"/>
      <c r="G15" s="258"/>
      <c r="H15" s="250" t="s">
        <v>152</v>
      </c>
      <c r="I15" s="269">
        <v>62994.75</v>
      </c>
      <c r="J15" s="251">
        <v>1</v>
      </c>
      <c r="K15" s="228" t="s">
        <v>84</v>
      </c>
      <c r="L15" s="252" t="s">
        <v>8</v>
      </c>
      <c r="M15" s="228" t="s">
        <v>106</v>
      </c>
      <c r="N15" s="251">
        <v>1</v>
      </c>
      <c r="O15" s="253">
        <v>0</v>
      </c>
      <c r="P15" s="253">
        <v>0</v>
      </c>
      <c r="Q15" s="270" t="s">
        <v>134</v>
      </c>
      <c r="R15" s="266"/>
      <c r="S15" s="239"/>
    </row>
    <row r="16" spans="2:19" ht="15" x14ac:dyDescent="0.2">
      <c r="B16" s="241" t="s">
        <v>146</v>
      </c>
      <c r="D16" s="244"/>
      <c r="E16" s="248"/>
      <c r="F16" s="228"/>
      <c r="G16" s="228"/>
      <c r="H16" s="250"/>
      <c r="I16" s="229"/>
      <c r="J16" s="229"/>
      <c r="K16" s="228"/>
      <c r="L16" s="252"/>
      <c r="M16" s="228"/>
      <c r="N16" s="229"/>
      <c r="O16" s="228"/>
      <c r="P16" s="228"/>
      <c r="Q16" s="270"/>
      <c r="R16" s="273"/>
    </row>
    <row r="17" spans="2:19" ht="28.5" x14ac:dyDescent="0.2">
      <c r="B17" s="311"/>
      <c r="C17" s="274" t="s">
        <v>77</v>
      </c>
      <c r="D17" s="244" t="s">
        <v>20</v>
      </c>
      <c r="E17" s="248" t="s">
        <v>21</v>
      </c>
      <c r="F17" s="228" t="s">
        <v>22</v>
      </c>
      <c r="G17" s="249">
        <v>39086</v>
      </c>
      <c r="H17" s="250" t="s">
        <v>118</v>
      </c>
      <c r="I17" s="229">
        <v>244431.05</v>
      </c>
      <c r="J17" s="275">
        <v>1</v>
      </c>
      <c r="K17" s="228" t="s">
        <v>84</v>
      </c>
      <c r="L17" s="252" t="s">
        <v>8</v>
      </c>
      <c r="M17" s="228" t="s">
        <v>106</v>
      </c>
      <c r="N17" s="275">
        <v>1</v>
      </c>
      <c r="O17" s="253">
        <v>0</v>
      </c>
      <c r="P17" s="253">
        <v>0</v>
      </c>
      <c r="Q17" s="270" t="s">
        <v>135</v>
      </c>
      <c r="R17" s="276" t="s">
        <v>45</v>
      </c>
    </row>
    <row r="18" spans="2:19" s="277" customFormat="1" ht="28.5" x14ac:dyDescent="0.25">
      <c r="B18" s="323"/>
      <c r="C18" s="261"/>
      <c r="D18" s="267" t="s">
        <v>147</v>
      </c>
      <c r="E18" s="268" t="s">
        <v>148</v>
      </c>
      <c r="F18" s="228"/>
      <c r="G18" s="249">
        <v>38513</v>
      </c>
      <c r="H18" s="250" t="s">
        <v>128</v>
      </c>
      <c r="I18" s="283">
        <v>53665</v>
      </c>
      <c r="J18" s="275">
        <v>1</v>
      </c>
      <c r="K18" s="228" t="s">
        <v>84</v>
      </c>
      <c r="L18" s="252" t="s">
        <v>8</v>
      </c>
      <c r="M18" s="228" t="s">
        <v>106</v>
      </c>
      <c r="N18" s="275">
        <v>1</v>
      </c>
      <c r="O18" s="253">
        <v>0</v>
      </c>
      <c r="P18" s="253">
        <v>0</v>
      </c>
      <c r="Q18" s="279" t="s">
        <v>134</v>
      </c>
      <c r="R18" s="273"/>
      <c r="S18" s="282"/>
    </row>
    <row r="19" spans="2:19" s="277" customFormat="1" ht="15" x14ac:dyDescent="0.25">
      <c r="B19" s="323"/>
      <c r="C19" s="261"/>
      <c r="D19" s="267"/>
      <c r="E19" s="268"/>
      <c r="F19" s="228"/>
      <c r="G19" s="249"/>
      <c r="H19" s="250"/>
      <c r="I19" s="283"/>
      <c r="J19" s="275"/>
      <c r="K19" s="228"/>
      <c r="L19" s="252"/>
      <c r="M19" s="228"/>
      <c r="N19" s="275"/>
      <c r="O19" s="253"/>
      <c r="P19" s="253"/>
      <c r="Q19" s="279"/>
      <c r="R19" s="325"/>
      <c r="S19" s="282"/>
    </row>
    <row r="20" spans="2:19" s="277" customFormat="1" ht="15" x14ac:dyDescent="0.25">
      <c r="B20" s="323"/>
      <c r="C20" s="261"/>
      <c r="D20" s="267"/>
      <c r="E20" s="268"/>
      <c r="F20" s="228"/>
      <c r="G20" s="249"/>
      <c r="H20" s="250"/>
      <c r="I20" s="283"/>
      <c r="J20" s="275"/>
      <c r="K20" s="228"/>
      <c r="L20" s="252"/>
      <c r="M20" s="228"/>
      <c r="N20" s="275"/>
      <c r="O20" s="253"/>
      <c r="P20" s="253"/>
      <c r="Q20" s="279"/>
      <c r="R20" s="325"/>
      <c r="S20" s="282"/>
    </row>
    <row r="21" spans="2:19" s="277" customFormat="1" ht="15" x14ac:dyDescent="0.25">
      <c r="B21" s="323"/>
      <c r="C21" s="261"/>
      <c r="D21" s="267"/>
      <c r="E21" s="268"/>
      <c r="F21" s="228"/>
      <c r="G21" s="249"/>
      <c r="H21" s="250"/>
      <c r="I21" s="283"/>
      <c r="J21" s="275"/>
      <c r="K21" s="228"/>
      <c r="L21" s="252"/>
      <c r="M21" s="228"/>
      <c r="N21" s="275"/>
      <c r="O21" s="253"/>
      <c r="P21" s="253"/>
      <c r="Q21" s="279"/>
      <c r="R21" s="325"/>
      <c r="S21" s="282"/>
    </row>
    <row r="22" spans="2:19" x14ac:dyDescent="0.2">
      <c r="B22" s="311"/>
      <c r="C22" s="257"/>
      <c r="D22" s="257"/>
      <c r="E22" s="311"/>
      <c r="F22" s="326"/>
      <c r="G22" s="326"/>
      <c r="H22" s="327"/>
      <c r="I22" s="328"/>
      <c r="J22" s="328"/>
      <c r="K22" s="326"/>
      <c r="L22" s="329"/>
      <c r="M22" s="326"/>
      <c r="N22" s="328"/>
      <c r="O22" s="326"/>
      <c r="P22" s="326"/>
      <c r="Q22" s="326"/>
    </row>
    <row r="23" spans="2:19" x14ac:dyDescent="0.2">
      <c r="B23" s="330"/>
      <c r="C23" s="225"/>
      <c r="D23" s="225"/>
      <c r="E23" s="330"/>
      <c r="F23" s="331"/>
      <c r="G23" s="331"/>
      <c r="H23" s="320"/>
      <c r="I23" s="332"/>
      <c r="J23" s="332"/>
      <c r="K23" s="331"/>
      <c r="L23" s="333"/>
      <c r="M23" s="331"/>
      <c r="N23" s="332"/>
      <c r="O23" s="331"/>
      <c r="P23" s="331"/>
      <c r="Q23" s="331"/>
    </row>
    <row r="24" spans="2:19" x14ac:dyDescent="0.2">
      <c r="B24" s="330"/>
      <c r="C24" s="225"/>
      <c r="D24" s="225"/>
      <c r="E24" s="330"/>
      <c r="F24" s="331"/>
      <c r="G24" s="331"/>
      <c r="H24" s="320"/>
      <c r="I24" s="332"/>
      <c r="J24" s="332"/>
      <c r="K24" s="331"/>
      <c r="L24" s="333"/>
      <c r="M24" s="331"/>
      <c r="N24" s="332"/>
      <c r="O24" s="331"/>
      <c r="P24" s="331"/>
      <c r="Q24" s="331"/>
    </row>
    <row r="26" spans="2:19" x14ac:dyDescent="0.2">
      <c r="D26" s="227" t="s">
        <v>677</v>
      </c>
      <c r="G26" s="224"/>
      <c r="H26" s="227" t="s">
        <v>679</v>
      </c>
      <c r="L26" s="227"/>
      <c r="M26" s="224" t="s">
        <v>680</v>
      </c>
      <c r="O26" s="233" t="s">
        <v>680</v>
      </c>
    </row>
    <row r="27" spans="2:19" x14ac:dyDescent="0.2">
      <c r="D27" s="227"/>
      <c r="G27" s="224"/>
      <c r="H27" s="227"/>
      <c r="L27" s="227"/>
      <c r="O27" s="233"/>
    </row>
    <row r="28" spans="2:19" x14ac:dyDescent="0.2">
      <c r="D28" s="227"/>
      <c r="G28" s="224"/>
      <c r="H28" s="227"/>
      <c r="L28" s="227"/>
      <c r="O28" s="233"/>
    </row>
    <row r="29" spans="2:19" ht="15" x14ac:dyDescent="0.25">
      <c r="D29" s="307" t="s">
        <v>673</v>
      </c>
      <c r="G29" s="224"/>
      <c r="H29" s="307" t="s">
        <v>85</v>
      </c>
      <c r="L29" s="307"/>
      <c r="M29" s="223"/>
      <c r="O29" s="308"/>
      <c r="P29" s="309"/>
    </row>
    <row r="30" spans="2:19" x14ac:dyDescent="0.2">
      <c r="D30" s="227" t="s">
        <v>678</v>
      </c>
      <c r="G30" s="224"/>
      <c r="H30" s="227" t="s">
        <v>133</v>
      </c>
      <c r="L30" s="227"/>
      <c r="M30" s="224" t="s">
        <v>681</v>
      </c>
      <c r="O30" s="233" t="s">
        <v>681</v>
      </c>
    </row>
    <row r="36" spans="2:19" s="233" customFormat="1" x14ac:dyDescent="0.2">
      <c r="B36" s="310"/>
      <c r="C36" s="224"/>
      <c r="D36" s="224"/>
      <c r="E36" s="232"/>
      <c r="F36" s="227"/>
      <c r="G36" s="227"/>
      <c r="H36" s="226"/>
      <c r="K36" s="227"/>
      <c r="L36" s="230"/>
      <c r="M36" s="227"/>
      <c r="O36" s="227"/>
      <c r="P36" s="227"/>
      <c r="Q36" s="227"/>
      <c r="R36" s="224"/>
      <c r="S36" s="310"/>
    </row>
    <row r="37" spans="2:19" s="233" customFormat="1" x14ac:dyDescent="0.2">
      <c r="B37" s="310"/>
      <c r="C37" s="224"/>
      <c r="D37" s="224"/>
      <c r="E37" s="232"/>
      <c r="F37" s="227"/>
      <c r="G37" s="227"/>
      <c r="H37" s="226"/>
      <c r="K37" s="227"/>
      <c r="L37" s="230"/>
      <c r="M37" s="227"/>
      <c r="O37" s="227"/>
      <c r="P37" s="227"/>
      <c r="Q37" s="227"/>
      <c r="R37" s="224"/>
      <c r="S37" s="310"/>
    </row>
  </sheetData>
  <autoFilter ref="K1:K37"/>
  <mergeCells count="20">
    <mergeCell ref="Q1:R1"/>
    <mergeCell ref="B2:Q2"/>
    <mergeCell ref="B3:Q3"/>
    <mergeCell ref="B4:Q4"/>
    <mergeCell ref="B6:Q6"/>
    <mergeCell ref="B7:Q7"/>
    <mergeCell ref="B12:B13"/>
    <mergeCell ref="D12:D13"/>
    <mergeCell ref="E12:E13"/>
    <mergeCell ref="F12:F13"/>
    <mergeCell ref="G12:G13"/>
    <mergeCell ref="O12:P12"/>
    <mergeCell ref="Q12:Q13"/>
    <mergeCell ref="I12:I13"/>
    <mergeCell ref="J12:J13"/>
    <mergeCell ref="K12:K13"/>
    <mergeCell ref="L12:L13"/>
    <mergeCell ref="M12:M13"/>
    <mergeCell ref="N12:N13"/>
    <mergeCell ref="H12:H13"/>
  </mergeCells>
  <conditionalFormatting sqref="M14 M16">
    <cfRule type="cellIs" dxfId="29" priority="6" operator="equal">
      <formula>#REF!</formula>
    </cfRule>
  </conditionalFormatting>
  <conditionalFormatting sqref="M17">
    <cfRule type="cellIs" dxfId="28" priority="4" operator="equal">
      <formula>#REF!</formula>
    </cfRule>
  </conditionalFormatting>
  <conditionalFormatting sqref="M18:M21">
    <cfRule type="cellIs" dxfId="27" priority="3" operator="equal">
      <formula>#REF!</formula>
    </cfRule>
  </conditionalFormatting>
  <conditionalFormatting sqref="M15">
    <cfRule type="cellIs" dxfId="26" priority="2" operator="equal">
      <formula>#REF!</formula>
    </cfRule>
  </conditionalFormatting>
  <hyperlinks>
    <hyperlink ref="R17" r:id="rId1"/>
  </hyperlinks>
  <printOptions horizontalCentered="1"/>
  <pageMargins left="0.11811023622047245" right="0.11811023622047245" top="0.39370078740157483" bottom="0.39370078740157483" header="0" footer="0"/>
  <pageSetup paperSize="14" scale="85" fitToWidth="0" fitToHeight="0" orientation="landscape" horizontalDpi="0" verticalDpi="0" r:id="rId2"/>
  <headerFooter>
    <oddFooter>&amp;C&amp;P OF &amp;N</oddFooter>
  </headerFooter>
  <colBreaks count="1" manualBreakCount="1">
    <brk id="17" max="57"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
  <sheetViews>
    <sheetView showGridLines="0" view="pageBreakPreview" topLeftCell="B1" zoomScale="110" zoomScaleNormal="140" zoomScaleSheetLayoutView="110" workbookViewId="0">
      <pane ySplit="13" topLeftCell="A14" activePane="bottomLeft" state="frozen"/>
      <selection activeCell="D1" sqref="D1"/>
      <selection pane="bottomLeft" activeCell="N19" sqref="N19"/>
    </sheetView>
  </sheetViews>
  <sheetFormatPr defaultRowHeight="14.25" x14ac:dyDescent="0.2"/>
  <cols>
    <col min="1" max="1" width="4.42578125" style="224" hidden="1" customWidth="1"/>
    <col min="2" max="2" width="11.5703125" style="232" customWidth="1"/>
    <col min="3" max="3" width="10.28515625" style="224" hidden="1" customWidth="1"/>
    <col min="4" max="4" width="41.140625" style="224" customWidth="1"/>
    <col min="5" max="5" width="28.42578125" style="232" customWidth="1"/>
    <col min="6" max="6" width="9.28515625" style="227" hidden="1" customWidth="1"/>
    <col min="7" max="7" width="12.140625" style="227" hidden="1" customWidth="1"/>
    <col min="8" max="8" width="9" style="226" customWidth="1"/>
    <col min="9" max="9" width="16.7109375" style="233" customWidth="1"/>
    <col min="10" max="10" width="11.42578125" style="233" customWidth="1"/>
    <col min="11" max="11" width="29.85546875" style="227" hidden="1" customWidth="1"/>
    <col min="12" max="12" width="17.5703125" style="230" hidden="1" customWidth="1"/>
    <col min="13" max="13" width="12.5703125" style="227" hidden="1" customWidth="1"/>
    <col min="14" max="14" width="11.42578125" style="233" customWidth="1"/>
    <col min="15" max="15" width="10.7109375" style="227" customWidth="1"/>
    <col min="16" max="16" width="11" style="227" customWidth="1"/>
    <col min="17" max="17" width="22.5703125" style="227" customWidth="1"/>
    <col min="18" max="18" width="11.140625" style="224" hidden="1" customWidth="1"/>
    <col min="19" max="19" width="17.7109375" style="232" customWidth="1"/>
    <col min="20" max="16384" width="9.140625" style="224"/>
  </cols>
  <sheetData>
    <row r="1" spans="2:19" x14ac:dyDescent="0.2">
      <c r="D1" s="230"/>
      <c r="E1" s="231"/>
      <c r="I1" s="230"/>
      <c r="J1" s="230"/>
      <c r="N1" s="230"/>
      <c r="Q1" s="451" t="s">
        <v>119</v>
      </c>
      <c r="R1" s="451"/>
    </row>
    <row r="2" spans="2:19" x14ac:dyDescent="0.2">
      <c r="B2" s="452" t="s">
        <v>96</v>
      </c>
      <c r="C2" s="452"/>
      <c r="D2" s="452"/>
      <c r="E2" s="452"/>
      <c r="F2" s="452"/>
      <c r="G2" s="452"/>
      <c r="H2" s="452"/>
      <c r="I2" s="452"/>
      <c r="J2" s="452"/>
      <c r="K2" s="452"/>
      <c r="L2" s="452"/>
      <c r="M2" s="452"/>
      <c r="N2" s="452"/>
      <c r="O2" s="452"/>
      <c r="P2" s="452"/>
      <c r="Q2" s="452"/>
    </row>
    <row r="3" spans="2:19" x14ac:dyDescent="0.2">
      <c r="B3" s="452" t="s">
        <v>121</v>
      </c>
      <c r="C3" s="452"/>
      <c r="D3" s="452"/>
      <c r="E3" s="452"/>
      <c r="F3" s="452"/>
      <c r="G3" s="452"/>
      <c r="H3" s="452"/>
      <c r="I3" s="452"/>
      <c r="J3" s="452"/>
      <c r="K3" s="452"/>
      <c r="L3" s="452"/>
      <c r="M3" s="452"/>
      <c r="N3" s="452"/>
      <c r="O3" s="452"/>
      <c r="P3" s="452"/>
      <c r="Q3" s="452"/>
    </row>
    <row r="4" spans="2:19" x14ac:dyDescent="0.2">
      <c r="B4" s="452" t="s">
        <v>137</v>
      </c>
      <c r="C4" s="452"/>
      <c r="D4" s="452"/>
      <c r="E4" s="452"/>
      <c r="F4" s="452"/>
      <c r="G4" s="452"/>
      <c r="H4" s="452"/>
      <c r="I4" s="452"/>
      <c r="J4" s="452"/>
      <c r="K4" s="452"/>
      <c r="L4" s="452"/>
      <c r="M4" s="452"/>
      <c r="N4" s="452"/>
      <c r="O4" s="452"/>
      <c r="P4" s="452"/>
      <c r="Q4" s="452"/>
    </row>
    <row r="5" spans="2:19" x14ac:dyDescent="0.2">
      <c r="L5" s="234"/>
      <c r="O5" s="235"/>
      <c r="P5" s="236"/>
    </row>
    <row r="6" spans="2:19" x14ac:dyDescent="0.2">
      <c r="B6" s="452" t="s">
        <v>120</v>
      </c>
      <c r="C6" s="452"/>
      <c r="D6" s="452"/>
      <c r="E6" s="452"/>
      <c r="F6" s="452"/>
      <c r="G6" s="452"/>
      <c r="H6" s="452"/>
      <c r="I6" s="452"/>
      <c r="J6" s="452"/>
      <c r="K6" s="452"/>
      <c r="L6" s="452"/>
      <c r="M6" s="452"/>
      <c r="N6" s="452"/>
      <c r="O6" s="452"/>
      <c r="P6" s="452"/>
      <c r="Q6" s="452"/>
    </row>
    <row r="7" spans="2:19" ht="15" x14ac:dyDescent="0.2">
      <c r="B7" s="464"/>
      <c r="C7" s="464"/>
      <c r="D7" s="464"/>
      <c r="E7" s="464"/>
      <c r="F7" s="464"/>
      <c r="G7" s="464"/>
      <c r="H7" s="464"/>
      <c r="I7" s="464"/>
      <c r="J7" s="464"/>
      <c r="K7" s="464"/>
      <c r="L7" s="464"/>
      <c r="M7" s="464"/>
      <c r="N7" s="464"/>
      <c r="O7" s="464"/>
      <c r="P7" s="464"/>
      <c r="Q7" s="464"/>
    </row>
    <row r="8" spans="2:19" x14ac:dyDescent="0.2">
      <c r="B8" s="324"/>
      <c r="C8" s="320"/>
      <c r="D8" s="320"/>
      <c r="E8" s="320"/>
      <c r="F8" s="320"/>
      <c r="G8" s="320"/>
      <c r="H8" s="320"/>
      <c r="I8" s="320"/>
      <c r="J8" s="320"/>
      <c r="K8" s="320"/>
      <c r="L8" s="320"/>
      <c r="M8" s="320"/>
      <c r="N8" s="320"/>
      <c r="O8" s="320"/>
      <c r="P8" s="320"/>
      <c r="Q8" s="320"/>
    </row>
    <row r="9" spans="2:19" x14ac:dyDescent="0.2">
      <c r="B9" s="232" t="s">
        <v>682</v>
      </c>
    </row>
    <row r="10" spans="2:19" x14ac:dyDescent="0.2">
      <c r="B10" s="232" t="s">
        <v>688</v>
      </c>
    </row>
    <row r="11" spans="2:19" ht="4.5" customHeight="1" x14ac:dyDescent="0.2"/>
    <row r="12" spans="2:19" s="237" customFormat="1" ht="37.5" customHeight="1" x14ac:dyDescent="0.25">
      <c r="B12" s="462" t="s">
        <v>110</v>
      </c>
      <c r="C12" s="238" t="s">
        <v>1</v>
      </c>
      <c r="D12" s="457" t="s">
        <v>97</v>
      </c>
      <c r="E12" s="462" t="s">
        <v>116</v>
      </c>
      <c r="F12" s="457" t="s">
        <v>155</v>
      </c>
      <c r="G12" s="457" t="s">
        <v>156</v>
      </c>
      <c r="H12" s="457" t="s">
        <v>136</v>
      </c>
      <c r="I12" s="453" t="s">
        <v>98</v>
      </c>
      <c r="J12" s="453" t="s">
        <v>132</v>
      </c>
      <c r="K12" s="457" t="s">
        <v>3</v>
      </c>
      <c r="L12" s="457" t="s">
        <v>2</v>
      </c>
      <c r="M12" s="457" t="s">
        <v>101</v>
      </c>
      <c r="N12" s="453" t="s">
        <v>100</v>
      </c>
      <c r="O12" s="455" t="s">
        <v>131</v>
      </c>
      <c r="P12" s="456"/>
      <c r="Q12" s="457" t="s">
        <v>99</v>
      </c>
      <c r="R12" s="238" t="s">
        <v>4</v>
      </c>
      <c r="S12" s="239"/>
    </row>
    <row r="13" spans="2:19" s="237" customFormat="1" ht="16.5" customHeight="1" x14ac:dyDescent="0.25">
      <c r="B13" s="463"/>
      <c r="C13" s="240"/>
      <c r="D13" s="458"/>
      <c r="E13" s="463"/>
      <c r="F13" s="458"/>
      <c r="G13" s="458"/>
      <c r="H13" s="458"/>
      <c r="I13" s="454"/>
      <c r="J13" s="454"/>
      <c r="K13" s="458"/>
      <c r="L13" s="458"/>
      <c r="M13" s="458"/>
      <c r="N13" s="454"/>
      <c r="O13" s="238" t="s">
        <v>130</v>
      </c>
      <c r="P13" s="238" t="s">
        <v>117</v>
      </c>
      <c r="Q13" s="458"/>
      <c r="R13" s="238"/>
      <c r="S13" s="239"/>
    </row>
    <row r="14" spans="2:19" ht="15" x14ac:dyDescent="0.2">
      <c r="B14" s="241" t="s">
        <v>138</v>
      </c>
      <c r="D14" s="244"/>
      <c r="E14" s="248"/>
      <c r="F14" s="228"/>
      <c r="G14" s="228"/>
      <c r="H14" s="250"/>
      <c r="I14" s="229"/>
      <c r="J14" s="229"/>
      <c r="K14" s="228"/>
      <c r="L14" s="252"/>
      <c r="M14" s="228"/>
      <c r="N14" s="229"/>
      <c r="O14" s="253">
        <v>0</v>
      </c>
      <c r="P14" s="253">
        <v>0</v>
      </c>
      <c r="Q14" s="228"/>
      <c r="R14" s="286"/>
    </row>
    <row r="15" spans="2:19" ht="42.75" x14ac:dyDescent="0.2">
      <c r="B15" s="311"/>
      <c r="C15" s="274" t="s">
        <v>76</v>
      </c>
      <c r="D15" s="244" t="s">
        <v>9</v>
      </c>
      <c r="E15" s="248" t="s">
        <v>10</v>
      </c>
      <c r="F15" s="228">
        <v>2486201743</v>
      </c>
      <c r="G15" s="249">
        <v>40919</v>
      </c>
      <c r="H15" s="250" t="s">
        <v>128</v>
      </c>
      <c r="I15" s="229">
        <v>55000</v>
      </c>
      <c r="J15" s="275">
        <v>1</v>
      </c>
      <c r="K15" s="228" t="s">
        <v>19</v>
      </c>
      <c r="L15" s="252" t="s">
        <v>83</v>
      </c>
      <c r="M15" s="228" t="s">
        <v>105</v>
      </c>
      <c r="N15" s="275">
        <v>1</v>
      </c>
      <c r="O15" s="253">
        <v>0</v>
      </c>
      <c r="P15" s="253">
        <v>0</v>
      </c>
      <c r="Q15" s="254"/>
      <c r="R15" s="256" t="s">
        <v>41</v>
      </c>
    </row>
    <row r="16" spans="2:19" x14ac:dyDescent="0.2">
      <c r="B16" s="311"/>
      <c r="C16" s="274"/>
      <c r="D16" s="244"/>
      <c r="E16" s="248"/>
      <c r="F16" s="228"/>
      <c r="G16" s="249"/>
      <c r="H16" s="250"/>
      <c r="I16" s="229"/>
      <c r="J16" s="275"/>
      <c r="K16" s="228"/>
      <c r="L16" s="252"/>
      <c r="M16" s="228"/>
      <c r="N16" s="275"/>
      <c r="O16" s="253"/>
      <c r="P16" s="253"/>
      <c r="Q16" s="254"/>
      <c r="R16" s="256"/>
    </row>
    <row r="17" spans="1:19" x14ac:dyDescent="0.2">
      <c r="B17" s="311"/>
      <c r="C17" s="274"/>
      <c r="D17" s="244"/>
      <c r="E17" s="248"/>
      <c r="F17" s="228"/>
      <c r="G17" s="249"/>
      <c r="H17" s="250"/>
      <c r="I17" s="229"/>
      <c r="J17" s="275"/>
      <c r="K17" s="228"/>
      <c r="L17" s="252"/>
      <c r="M17" s="228"/>
      <c r="N17" s="275"/>
      <c r="O17" s="253"/>
      <c r="P17" s="253"/>
      <c r="Q17" s="254"/>
      <c r="R17" s="256"/>
    </row>
    <row r="18" spans="1:19" x14ac:dyDescent="0.2">
      <c r="B18" s="311"/>
      <c r="C18" s="247"/>
      <c r="D18" s="244"/>
      <c r="E18" s="248"/>
      <c r="F18" s="228"/>
      <c r="G18" s="249"/>
      <c r="H18" s="250"/>
      <c r="I18" s="229"/>
      <c r="J18" s="275"/>
      <c r="K18" s="228"/>
      <c r="L18" s="252"/>
      <c r="M18" s="228"/>
      <c r="N18" s="275"/>
      <c r="O18" s="253"/>
      <c r="P18" s="253"/>
      <c r="Q18" s="254"/>
      <c r="R18" s="256"/>
    </row>
    <row r="19" spans="1:19" x14ac:dyDescent="0.2">
      <c r="B19" s="311"/>
      <c r="C19" s="247"/>
      <c r="D19" s="244"/>
      <c r="E19" s="248"/>
      <c r="F19" s="228"/>
      <c r="G19" s="280"/>
      <c r="H19" s="250"/>
      <c r="I19" s="229"/>
      <c r="J19" s="275"/>
      <c r="K19" s="228"/>
      <c r="L19" s="252"/>
      <c r="M19" s="228"/>
      <c r="N19" s="275"/>
      <c r="O19" s="253"/>
      <c r="P19" s="253"/>
      <c r="Q19" s="254"/>
      <c r="R19" s="256"/>
    </row>
    <row r="20" spans="1:19" x14ac:dyDescent="0.2">
      <c r="B20" s="311"/>
      <c r="C20" s="247"/>
      <c r="D20" s="244"/>
      <c r="E20" s="248"/>
      <c r="F20" s="228"/>
      <c r="G20" s="290"/>
      <c r="H20" s="250"/>
      <c r="I20" s="229"/>
      <c r="J20" s="275"/>
      <c r="K20" s="228"/>
      <c r="L20" s="252"/>
      <c r="M20" s="228"/>
      <c r="N20" s="275"/>
      <c r="O20" s="253"/>
      <c r="P20" s="253"/>
      <c r="Q20" s="254"/>
      <c r="R20" s="256"/>
    </row>
    <row r="21" spans="1:19" s="237" customFormat="1" ht="15" x14ac:dyDescent="0.25">
      <c r="B21" s="322"/>
      <c r="C21" s="287"/>
      <c r="D21" s="263"/>
      <c r="E21" s="264"/>
      <c r="F21" s="258"/>
      <c r="G21" s="258"/>
      <c r="H21" s="259"/>
      <c r="I21" s="260"/>
      <c r="J21" s="260"/>
      <c r="K21" s="258"/>
      <c r="L21" s="291"/>
      <c r="M21" s="258"/>
      <c r="N21" s="260"/>
      <c r="O21" s="292"/>
      <c r="P21" s="258"/>
      <c r="Q21" s="254"/>
      <c r="R21" s="288"/>
      <c r="S21" s="239"/>
    </row>
    <row r="22" spans="1:19" ht="15" x14ac:dyDescent="0.2">
      <c r="B22" s="241"/>
      <c r="D22" s="244"/>
      <c r="E22" s="248"/>
      <c r="F22" s="228"/>
      <c r="G22" s="228"/>
      <c r="H22" s="250"/>
      <c r="I22" s="229"/>
      <c r="J22" s="275"/>
      <c r="K22" s="228"/>
      <c r="L22" s="252"/>
      <c r="M22" s="228"/>
      <c r="N22" s="275"/>
      <c r="O22" s="253"/>
      <c r="P22" s="253"/>
      <c r="Q22" s="254"/>
      <c r="R22" s="286"/>
    </row>
    <row r="23" spans="1:19" x14ac:dyDescent="0.2">
      <c r="B23" s="311"/>
      <c r="C23" s="293"/>
      <c r="D23" s="294"/>
      <c r="E23" s="295"/>
      <c r="F23" s="254"/>
      <c r="G23" s="254"/>
      <c r="H23" s="250"/>
      <c r="I23" s="296"/>
      <c r="J23" s="275"/>
      <c r="K23" s="254"/>
      <c r="L23" s="297"/>
      <c r="M23" s="254"/>
      <c r="N23" s="275"/>
      <c r="O23" s="253"/>
      <c r="P23" s="253"/>
      <c r="Q23" s="254"/>
      <c r="R23" s="298"/>
    </row>
    <row r="24" spans="1:19" ht="15" x14ac:dyDescent="0.25">
      <c r="A24" s="299"/>
      <c r="B24" s="311"/>
      <c r="C24" s="300"/>
      <c r="D24" s="301"/>
      <c r="E24" s="302"/>
      <c r="F24" s="258"/>
      <c r="G24" s="258"/>
      <c r="H24" s="259"/>
      <c r="I24" s="303"/>
      <c r="J24" s="303"/>
      <c r="K24" s="304"/>
      <c r="L24" s="305"/>
      <c r="M24" s="304"/>
      <c r="N24" s="303"/>
      <c r="O24" s="306"/>
      <c r="P24" s="304"/>
      <c r="Q24" s="304"/>
    </row>
    <row r="27" spans="1:19" x14ac:dyDescent="0.2">
      <c r="D27" s="227" t="s">
        <v>677</v>
      </c>
      <c r="G27" s="224"/>
      <c r="H27" s="227" t="s">
        <v>679</v>
      </c>
      <c r="L27" s="227"/>
      <c r="M27" s="224" t="s">
        <v>680</v>
      </c>
      <c r="O27" s="233" t="s">
        <v>680</v>
      </c>
    </row>
    <row r="28" spans="1:19" x14ac:dyDescent="0.2">
      <c r="D28" s="227"/>
      <c r="G28" s="224"/>
      <c r="H28" s="227"/>
      <c r="L28" s="227"/>
      <c r="O28" s="233"/>
    </row>
    <row r="29" spans="1:19" x14ac:dyDescent="0.2">
      <c r="D29" s="227"/>
      <c r="G29" s="224"/>
      <c r="H29" s="227"/>
      <c r="L29" s="227"/>
      <c r="O29" s="233"/>
    </row>
    <row r="30" spans="1:19" ht="15" x14ac:dyDescent="0.25">
      <c r="D30" s="307" t="s">
        <v>673</v>
      </c>
      <c r="G30" s="224"/>
      <c r="H30" s="307" t="s">
        <v>85</v>
      </c>
      <c r="L30" s="307"/>
      <c r="M30" s="223"/>
      <c r="O30" s="308"/>
      <c r="P30" s="309"/>
    </row>
    <row r="31" spans="1:19" x14ac:dyDescent="0.2">
      <c r="D31" s="227" t="s">
        <v>678</v>
      </c>
      <c r="G31" s="224"/>
      <c r="H31" s="227" t="s">
        <v>133</v>
      </c>
      <c r="L31" s="227"/>
      <c r="M31" s="224" t="s">
        <v>681</v>
      </c>
      <c r="O31" s="233" t="s">
        <v>681</v>
      </c>
    </row>
    <row r="37" spans="2:19" s="233" customFormat="1" x14ac:dyDescent="0.2">
      <c r="B37" s="310"/>
      <c r="C37" s="224"/>
      <c r="D37" s="224"/>
      <c r="E37" s="232"/>
      <c r="F37" s="227"/>
      <c r="G37" s="227"/>
      <c r="H37" s="226"/>
      <c r="K37" s="227"/>
      <c r="L37" s="230"/>
      <c r="M37" s="227"/>
      <c r="O37" s="227"/>
      <c r="P37" s="227"/>
      <c r="Q37" s="227"/>
      <c r="R37" s="224"/>
      <c r="S37" s="310"/>
    </row>
    <row r="38" spans="2:19" s="233" customFormat="1" x14ac:dyDescent="0.2">
      <c r="B38" s="310"/>
      <c r="C38" s="224"/>
      <c r="D38" s="224"/>
      <c r="E38" s="232"/>
      <c r="F38" s="227"/>
      <c r="G38" s="227"/>
      <c r="H38" s="226"/>
      <c r="K38" s="227"/>
      <c r="L38" s="230"/>
      <c r="M38" s="227"/>
      <c r="O38" s="227"/>
      <c r="P38" s="227"/>
      <c r="Q38" s="227"/>
      <c r="R38" s="224"/>
      <c r="S38" s="310"/>
    </row>
  </sheetData>
  <autoFilter ref="K1:K38"/>
  <mergeCells count="20">
    <mergeCell ref="Q1:R1"/>
    <mergeCell ref="B2:Q2"/>
    <mergeCell ref="B3:Q3"/>
    <mergeCell ref="B4:Q4"/>
    <mergeCell ref="B6:Q6"/>
    <mergeCell ref="B7:Q7"/>
    <mergeCell ref="B12:B13"/>
    <mergeCell ref="D12:D13"/>
    <mergeCell ref="E12:E13"/>
    <mergeCell ref="F12:F13"/>
    <mergeCell ref="G12:G13"/>
    <mergeCell ref="O12:P12"/>
    <mergeCell ref="Q12:Q13"/>
    <mergeCell ref="I12:I13"/>
    <mergeCell ref="J12:J13"/>
    <mergeCell ref="K12:K13"/>
    <mergeCell ref="L12:L13"/>
    <mergeCell ref="M12:M13"/>
    <mergeCell ref="N12:N13"/>
    <mergeCell ref="H12:H13"/>
  </mergeCells>
  <conditionalFormatting sqref="M14:M23">
    <cfRule type="cellIs" dxfId="25" priority="6" operator="equal">
      <formula>#REF!</formula>
    </cfRule>
  </conditionalFormatting>
  <hyperlinks>
    <hyperlink ref="R15" r:id="rId1"/>
  </hyperlinks>
  <printOptions horizontalCentered="1"/>
  <pageMargins left="0.11811023622047245" right="0.11811023622047245" top="0.39370078740157483" bottom="0.39370078740157483" header="0" footer="0"/>
  <pageSetup paperSize="14" scale="85" fitToWidth="0" fitToHeight="0" orientation="landscape" horizontalDpi="0" verticalDpi="0" r:id="rId2"/>
  <headerFooter>
    <oddFooter>&amp;C&amp;P OF &amp;N</oddFooter>
  </headerFooter>
  <colBreaks count="1" manualBreakCount="1">
    <brk id="17" max="57" man="1"/>
  </col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8"/>
  <sheetViews>
    <sheetView showGridLines="0" view="pageBreakPreview" topLeftCell="B1" zoomScale="110" zoomScaleNormal="140" zoomScaleSheetLayoutView="110" workbookViewId="0">
      <pane ySplit="13" topLeftCell="A32" activePane="bottomLeft" state="frozen"/>
      <selection activeCell="D1" sqref="D1"/>
      <selection pane="bottomLeft" activeCell="B7" sqref="B7:Q7"/>
    </sheetView>
  </sheetViews>
  <sheetFormatPr defaultRowHeight="14.25" x14ac:dyDescent="0.2"/>
  <cols>
    <col min="1" max="1" width="4.42578125" style="224" hidden="1" customWidth="1"/>
    <col min="2" max="2" width="11.5703125" style="232" customWidth="1"/>
    <col min="3" max="3" width="10.28515625" style="224" hidden="1" customWidth="1"/>
    <col min="4" max="4" width="41.140625" style="224" customWidth="1"/>
    <col min="5" max="5" width="28.42578125" style="232" customWidth="1"/>
    <col min="6" max="6" width="9.28515625" style="227" hidden="1" customWidth="1"/>
    <col min="7" max="7" width="12.140625" style="227" hidden="1" customWidth="1"/>
    <col min="8" max="8" width="9" style="226" customWidth="1"/>
    <col min="9" max="9" width="16.7109375" style="233" customWidth="1"/>
    <col min="10" max="10" width="11.42578125" style="233" customWidth="1"/>
    <col min="11" max="11" width="29.85546875" style="227" customWidth="1"/>
    <col min="12" max="12" width="17.5703125" style="230" hidden="1" customWidth="1"/>
    <col min="13" max="13" width="12.5703125" style="227" hidden="1" customWidth="1"/>
    <col min="14" max="14" width="11.42578125" style="233" customWidth="1"/>
    <col min="15" max="15" width="10.7109375" style="227" customWidth="1"/>
    <col min="16" max="16" width="11" style="227" customWidth="1"/>
    <col min="17" max="17" width="22.5703125" style="227" customWidth="1"/>
    <col min="18" max="18" width="11.140625" style="224" hidden="1" customWidth="1"/>
    <col min="19" max="19" width="17.7109375" style="232" customWidth="1"/>
    <col min="20" max="16384" width="9.140625" style="224"/>
  </cols>
  <sheetData>
    <row r="1" spans="2:19" x14ac:dyDescent="0.2">
      <c r="D1" s="230"/>
      <c r="E1" s="231"/>
      <c r="I1" s="230"/>
      <c r="J1" s="230"/>
      <c r="N1" s="230"/>
      <c r="Q1" s="451" t="s">
        <v>119</v>
      </c>
      <c r="R1" s="451"/>
    </row>
    <row r="2" spans="2:19" x14ac:dyDescent="0.2">
      <c r="B2" s="452" t="s">
        <v>96</v>
      </c>
      <c r="C2" s="452"/>
      <c r="D2" s="452"/>
      <c r="E2" s="452"/>
      <c r="F2" s="452"/>
      <c r="G2" s="452"/>
      <c r="H2" s="452"/>
      <c r="I2" s="452"/>
      <c r="J2" s="452"/>
      <c r="K2" s="452"/>
      <c r="L2" s="452"/>
      <c r="M2" s="452"/>
      <c r="N2" s="452"/>
      <c r="O2" s="452"/>
      <c r="P2" s="452"/>
      <c r="Q2" s="452"/>
    </row>
    <row r="3" spans="2:19" x14ac:dyDescent="0.2">
      <c r="B3" s="452" t="s">
        <v>121</v>
      </c>
      <c r="C3" s="452"/>
      <c r="D3" s="452"/>
      <c r="E3" s="452"/>
      <c r="F3" s="452"/>
      <c r="G3" s="452"/>
      <c r="H3" s="452"/>
      <c r="I3" s="452"/>
      <c r="J3" s="452"/>
      <c r="K3" s="452"/>
      <c r="L3" s="452"/>
      <c r="M3" s="452"/>
      <c r="N3" s="452"/>
      <c r="O3" s="452"/>
      <c r="P3" s="452"/>
      <c r="Q3" s="452"/>
    </row>
    <row r="4" spans="2:19" x14ac:dyDescent="0.2">
      <c r="B4" s="452" t="s">
        <v>137</v>
      </c>
      <c r="C4" s="452"/>
      <c r="D4" s="452"/>
      <c r="E4" s="452"/>
      <c r="F4" s="452"/>
      <c r="G4" s="452"/>
      <c r="H4" s="452"/>
      <c r="I4" s="452"/>
      <c r="J4" s="452"/>
      <c r="K4" s="452"/>
      <c r="L4" s="452"/>
      <c r="M4" s="452"/>
      <c r="N4" s="452"/>
      <c r="O4" s="452"/>
      <c r="P4" s="452"/>
      <c r="Q4" s="452"/>
    </row>
    <row r="5" spans="2:19" x14ac:dyDescent="0.2">
      <c r="L5" s="234"/>
      <c r="O5" s="235"/>
      <c r="P5" s="236"/>
    </row>
    <row r="6" spans="2:19" x14ac:dyDescent="0.2">
      <c r="B6" s="452" t="s">
        <v>120</v>
      </c>
      <c r="C6" s="452"/>
      <c r="D6" s="452"/>
      <c r="E6" s="452"/>
      <c r="F6" s="452"/>
      <c r="G6" s="452"/>
      <c r="H6" s="452"/>
      <c r="I6" s="452"/>
      <c r="J6" s="452"/>
      <c r="K6" s="452"/>
      <c r="L6" s="452"/>
      <c r="M6" s="452"/>
      <c r="N6" s="452"/>
      <c r="O6" s="452"/>
      <c r="P6" s="452"/>
      <c r="Q6" s="452"/>
    </row>
    <row r="7" spans="2:19" ht="15" x14ac:dyDescent="0.2">
      <c r="B7" s="464"/>
      <c r="C7" s="464"/>
      <c r="D7" s="464"/>
      <c r="E7" s="464"/>
      <c r="F7" s="464"/>
      <c r="G7" s="464"/>
      <c r="H7" s="464"/>
      <c r="I7" s="464"/>
      <c r="J7" s="464"/>
      <c r="K7" s="464"/>
      <c r="L7" s="464"/>
      <c r="M7" s="464"/>
      <c r="N7" s="464"/>
      <c r="O7" s="464"/>
      <c r="P7" s="464"/>
      <c r="Q7" s="464"/>
    </row>
    <row r="8" spans="2:19" x14ac:dyDescent="0.2">
      <c r="B8" s="324"/>
      <c r="C8" s="320"/>
      <c r="D8" s="320"/>
      <c r="E8" s="320"/>
      <c r="F8" s="320"/>
      <c r="G8" s="320"/>
      <c r="H8" s="320"/>
      <c r="I8" s="320"/>
      <c r="J8" s="320"/>
      <c r="K8" s="320"/>
      <c r="L8" s="320"/>
      <c r="M8" s="320"/>
      <c r="N8" s="320"/>
      <c r="O8" s="320"/>
      <c r="P8" s="320"/>
      <c r="Q8" s="320"/>
    </row>
    <row r="9" spans="2:19" x14ac:dyDescent="0.2">
      <c r="B9" s="232" t="s">
        <v>682</v>
      </c>
    </row>
    <row r="10" spans="2:19" x14ac:dyDescent="0.2">
      <c r="B10" s="232" t="s">
        <v>687</v>
      </c>
    </row>
    <row r="11" spans="2:19" ht="4.5" customHeight="1" x14ac:dyDescent="0.2"/>
    <row r="12" spans="2:19" s="237" customFormat="1" ht="37.5" customHeight="1" x14ac:dyDescent="0.25">
      <c r="B12" s="462" t="s">
        <v>110</v>
      </c>
      <c r="C12" s="238" t="s">
        <v>1</v>
      </c>
      <c r="D12" s="457" t="s">
        <v>97</v>
      </c>
      <c r="E12" s="462" t="s">
        <v>116</v>
      </c>
      <c r="F12" s="457" t="s">
        <v>155</v>
      </c>
      <c r="G12" s="457" t="s">
        <v>156</v>
      </c>
      <c r="H12" s="457" t="s">
        <v>136</v>
      </c>
      <c r="I12" s="453" t="s">
        <v>98</v>
      </c>
      <c r="J12" s="453" t="s">
        <v>132</v>
      </c>
      <c r="K12" s="457" t="s">
        <v>3</v>
      </c>
      <c r="L12" s="457" t="s">
        <v>2</v>
      </c>
      <c r="M12" s="457" t="s">
        <v>101</v>
      </c>
      <c r="N12" s="453" t="s">
        <v>100</v>
      </c>
      <c r="O12" s="455" t="s">
        <v>131</v>
      </c>
      <c r="P12" s="456"/>
      <c r="Q12" s="457" t="s">
        <v>99</v>
      </c>
      <c r="R12" s="238" t="s">
        <v>4</v>
      </c>
      <c r="S12" s="239"/>
    </row>
    <row r="13" spans="2:19" s="237" customFormat="1" ht="16.5" customHeight="1" x14ac:dyDescent="0.25">
      <c r="B13" s="463"/>
      <c r="C13" s="240"/>
      <c r="D13" s="458"/>
      <c r="E13" s="463"/>
      <c r="F13" s="458"/>
      <c r="G13" s="458"/>
      <c r="H13" s="458"/>
      <c r="I13" s="454"/>
      <c r="J13" s="454"/>
      <c r="K13" s="458"/>
      <c r="L13" s="458"/>
      <c r="M13" s="458"/>
      <c r="N13" s="454"/>
      <c r="O13" s="238" t="s">
        <v>130</v>
      </c>
      <c r="P13" s="238" t="s">
        <v>117</v>
      </c>
      <c r="Q13" s="458"/>
      <c r="R13" s="238"/>
      <c r="S13" s="239"/>
    </row>
    <row r="14" spans="2:19" ht="15" x14ac:dyDescent="0.2">
      <c r="B14" s="241" t="s">
        <v>111</v>
      </c>
      <c r="D14" s="242"/>
      <c r="E14" s="243"/>
      <c r="F14" s="244"/>
      <c r="G14" s="244"/>
      <c r="H14" s="242"/>
      <c r="I14" s="245"/>
      <c r="J14" s="245"/>
      <c r="K14" s="244"/>
      <c r="L14" s="246"/>
      <c r="M14" s="244"/>
      <c r="N14" s="245"/>
      <c r="O14" s="244"/>
      <c r="P14" s="244"/>
      <c r="Q14" s="244"/>
      <c r="R14" s="242"/>
    </row>
    <row r="15" spans="2:19" x14ac:dyDescent="0.2">
      <c r="B15" s="311"/>
      <c r="C15" s="247">
        <v>43462</v>
      </c>
      <c r="D15" s="244" t="s">
        <v>104</v>
      </c>
      <c r="E15" s="248" t="s">
        <v>5</v>
      </c>
      <c r="F15" s="228"/>
      <c r="G15" s="249">
        <v>43462</v>
      </c>
      <c r="H15" s="250"/>
      <c r="I15" s="229">
        <v>1782828.5</v>
      </c>
      <c r="J15" s="251">
        <v>1</v>
      </c>
      <c r="K15" s="228" t="s">
        <v>7</v>
      </c>
      <c r="L15" s="252" t="s">
        <v>103</v>
      </c>
      <c r="M15" s="228" t="s">
        <v>105</v>
      </c>
      <c r="N15" s="251">
        <v>1</v>
      </c>
      <c r="O15" s="253">
        <v>0</v>
      </c>
      <c r="P15" s="253">
        <v>0</v>
      </c>
      <c r="Q15" s="254"/>
      <c r="R15" s="255" t="s">
        <v>40</v>
      </c>
    </row>
    <row r="16" spans="2:19" x14ac:dyDescent="0.2">
      <c r="B16" s="311"/>
      <c r="C16" s="247">
        <v>28858</v>
      </c>
      <c r="D16" s="244" t="s">
        <v>104</v>
      </c>
      <c r="E16" s="248" t="s">
        <v>86</v>
      </c>
      <c r="F16" s="228"/>
      <c r="G16" s="249">
        <v>28915</v>
      </c>
      <c r="H16" s="250"/>
      <c r="I16" s="229">
        <v>1476980.09</v>
      </c>
      <c r="J16" s="251">
        <v>1</v>
      </c>
      <c r="K16" s="228" t="s">
        <v>7</v>
      </c>
      <c r="L16" s="252" t="s">
        <v>103</v>
      </c>
      <c r="M16" s="228" t="s">
        <v>105</v>
      </c>
      <c r="N16" s="251">
        <v>1</v>
      </c>
      <c r="O16" s="253">
        <v>0</v>
      </c>
      <c r="P16" s="253">
        <v>0</v>
      </c>
      <c r="Q16" s="254"/>
      <c r="R16" s="256"/>
    </row>
    <row r="17" spans="1:19" ht="15" x14ac:dyDescent="0.2">
      <c r="B17" s="311"/>
      <c r="C17" s="247"/>
      <c r="D17" s="244"/>
      <c r="E17" s="248"/>
      <c r="F17" s="258" t="s">
        <v>82</v>
      </c>
      <c r="G17" s="258"/>
      <c r="H17" s="259"/>
      <c r="I17" s="260">
        <f>SUM(I15:I16)</f>
        <v>3259808.59</v>
      </c>
      <c r="J17" s="260"/>
      <c r="K17" s="228"/>
      <c r="L17" s="252"/>
      <c r="M17" s="228"/>
      <c r="N17" s="260"/>
      <c r="O17" s="228"/>
      <c r="P17" s="228"/>
      <c r="Q17" s="254"/>
      <c r="R17" s="256"/>
    </row>
    <row r="18" spans="1:19" s="237" customFormat="1" ht="15" x14ac:dyDescent="0.25">
      <c r="B18" s="241" t="s">
        <v>149</v>
      </c>
      <c r="C18" s="262"/>
      <c r="D18" s="263"/>
      <c r="E18" s="264"/>
      <c r="F18" s="258"/>
      <c r="G18" s="258"/>
      <c r="H18" s="250"/>
      <c r="I18" s="260"/>
      <c r="J18" s="260"/>
      <c r="K18" s="258"/>
      <c r="L18" s="265"/>
      <c r="M18" s="258"/>
      <c r="N18" s="260"/>
      <c r="O18" s="258"/>
      <c r="P18" s="258"/>
      <c r="Q18" s="254"/>
      <c r="R18" s="266"/>
      <c r="S18" s="239"/>
    </row>
    <row r="19" spans="1:19" s="237" customFormat="1" ht="28.5" x14ac:dyDescent="0.25">
      <c r="B19" s="241"/>
      <c r="C19" s="262"/>
      <c r="D19" s="267" t="s">
        <v>150</v>
      </c>
      <c r="E19" s="268" t="s">
        <v>151</v>
      </c>
      <c r="F19" s="258"/>
      <c r="G19" s="258"/>
      <c r="H19" s="250" t="s">
        <v>152</v>
      </c>
      <c r="I19" s="269">
        <v>62994.75</v>
      </c>
      <c r="J19" s="251">
        <v>1</v>
      </c>
      <c r="K19" s="228" t="s">
        <v>84</v>
      </c>
      <c r="L19" s="252" t="s">
        <v>8</v>
      </c>
      <c r="M19" s="228" t="s">
        <v>106</v>
      </c>
      <c r="N19" s="251">
        <v>1</v>
      </c>
      <c r="O19" s="253">
        <v>0</v>
      </c>
      <c r="P19" s="253">
        <v>0</v>
      </c>
      <c r="Q19" s="270" t="s">
        <v>134</v>
      </c>
      <c r="R19" s="266"/>
      <c r="S19" s="239"/>
    </row>
    <row r="20" spans="1:19" s="237" customFormat="1" ht="71.25" x14ac:dyDescent="0.25">
      <c r="B20" s="241"/>
      <c r="C20" s="262"/>
      <c r="D20" s="244" t="s">
        <v>154</v>
      </c>
      <c r="E20" s="228" t="s">
        <v>158</v>
      </c>
      <c r="F20" s="258"/>
      <c r="G20" s="249">
        <v>44564</v>
      </c>
      <c r="H20" s="250" t="s">
        <v>128</v>
      </c>
      <c r="I20" s="271">
        <v>305103.38</v>
      </c>
      <c r="J20" s="251">
        <v>1</v>
      </c>
      <c r="K20" s="228" t="s">
        <v>7</v>
      </c>
      <c r="L20" s="252" t="s">
        <v>6</v>
      </c>
      <c r="M20" s="228" t="s">
        <v>105</v>
      </c>
      <c r="N20" s="251">
        <v>1</v>
      </c>
      <c r="O20" s="253">
        <v>0</v>
      </c>
      <c r="P20" s="253">
        <v>0</v>
      </c>
      <c r="Q20" s="254"/>
      <c r="R20" s="266"/>
      <c r="S20" s="239"/>
    </row>
    <row r="21" spans="1:19" s="237" customFormat="1" ht="15" x14ac:dyDescent="0.25">
      <c r="B21" s="322"/>
      <c r="C21" s="262"/>
      <c r="D21" s="263"/>
      <c r="E21" s="264"/>
      <c r="F21" s="258" t="s">
        <v>82</v>
      </c>
      <c r="G21" s="258"/>
      <c r="H21" s="250"/>
      <c r="I21" s="260">
        <f>SUM(I19:I20)</f>
        <v>368098.13</v>
      </c>
      <c r="J21" s="260"/>
      <c r="K21" s="258"/>
      <c r="L21" s="265"/>
      <c r="M21" s="258"/>
      <c r="N21" s="260"/>
      <c r="O21" s="258"/>
      <c r="P21" s="258"/>
      <c r="Q21" s="254"/>
      <c r="R21" s="266"/>
      <c r="S21" s="239"/>
    </row>
    <row r="22" spans="1:19" ht="15" x14ac:dyDescent="0.2">
      <c r="B22" s="241" t="s">
        <v>146</v>
      </c>
      <c r="D22" s="244"/>
      <c r="E22" s="248"/>
      <c r="F22" s="228"/>
      <c r="G22" s="228"/>
      <c r="H22" s="250"/>
      <c r="I22" s="229"/>
      <c r="J22" s="229"/>
      <c r="K22" s="228"/>
      <c r="L22" s="252"/>
      <c r="M22" s="228"/>
      <c r="N22" s="229"/>
      <c r="O22" s="228"/>
      <c r="P22" s="228"/>
      <c r="Q22" s="270"/>
      <c r="R22" s="273"/>
    </row>
    <row r="23" spans="1:19" ht="28.5" x14ac:dyDescent="0.2">
      <c r="B23" s="311"/>
      <c r="C23" s="274" t="s">
        <v>77</v>
      </c>
      <c r="D23" s="244" t="s">
        <v>20</v>
      </c>
      <c r="E23" s="248" t="s">
        <v>21</v>
      </c>
      <c r="F23" s="228" t="s">
        <v>22</v>
      </c>
      <c r="G23" s="249">
        <v>39086</v>
      </c>
      <c r="H23" s="250" t="s">
        <v>118</v>
      </c>
      <c r="I23" s="229">
        <v>244431.05</v>
      </c>
      <c r="J23" s="275">
        <v>1</v>
      </c>
      <c r="K23" s="228" t="s">
        <v>84</v>
      </c>
      <c r="L23" s="252" t="s">
        <v>8</v>
      </c>
      <c r="M23" s="228" t="s">
        <v>106</v>
      </c>
      <c r="N23" s="275">
        <v>1</v>
      </c>
      <c r="O23" s="253">
        <v>0</v>
      </c>
      <c r="P23" s="253">
        <v>0</v>
      </c>
      <c r="Q23" s="270" t="s">
        <v>135</v>
      </c>
      <c r="R23" s="276" t="s">
        <v>45</v>
      </c>
    </row>
    <row r="24" spans="1:19" s="277" customFormat="1" ht="57" x14ac:dyDescent="0.25">
      <c r="B24" s="323"/>
      <c r="C24" s="261"/>
      <c r="D24" s="244" t="s">
        <v>126</v>
      </c>
      <c r="E24" s="278" t="s">
        <v>127</v>
      </c>
      <c r="F24" s="279" t="s">
        <v>157</v>
      </c>
      <c r="G24" s="280">
        <v>44883</v>
      </c>
      <c r="H24" s="250" t="s">
        <v>128</v>
      </c>
      <c r="I24" s="229">
        <v>56400</v>
      </c>
      <c r="J24" s="275">
        <v>1</v>
      </c>
      <c r="K24" s="228" t="s">
        <v>85</v>
      </c>
      <c r="L24" s="281" t="s">
        <v>129</v>
      </c>
      <c r="M24" s="228" t="s">
        <v>105</v>
      </c>
      <c r="N24" s="275">
        <v>1</v>
      </c>
      <c r="O24" s="253">
        <v>0</v>
      </c>
      <c r="P24" s="253">
        <v>0</v>
      </c>
      <c r="Q24" s="254"/>
      <c r="R24" s="273"/>
      <c r="S24" s="282"/>
    </row>
    <row r="25" spans="1:19" s="277" customFormat="1" ht="28.5" x14ac:dyDescent="0.25">
      <c r="B25" s="323"/>
      <c r="C25" s="261"/>
      <c r="D25" s="267" t="s">
        <v>147</v>
      </c>
      <c r="E25" s="268" t="s">
        <v>148</v>
      </c>
      <c r="F25" s="228"/>
      <c r="G25" s="249">
        <v>38513</v>
      </c>
      <c r="H25" s="250" t="s">
        <v>128</v>
      </c>
      <c r="I25" s="283">
        <v>53665</v>
      </c>
      <c r="J25" s="275">
        <v>1</v>
      </c>
      <c r="K25" s="228" t="s">
        <v>84</v>
      </c>
      <c r="L25" s="252" t="s">
        <v>8</v>
      </c>
      <c r="M25" s="228" t="s">
        <v>106</v>
      </c>
      <c r="N25" s="275">
        <v>1</v>
      </c>
      <c r="O25" s="253">
        <v>0</v>
      </c>
      <c r="P25" s="253">
        <v>0</v>
      </c>
      <c r="Q25" s="270" t="s">
        <v>134</v>
      </c>
      <c r="R25" s="273"/>
      <c r="S25" s="282"/>
    </row>
    <row r="26" spans="1:19" ht="15" x14ac:dyDescent="0.2">
      <c r="B26" s="311"/>
      <c r="C26" s="247"/>
      <c r="D26" s="244"/>
      <c r="E26" s="248"/>
      <c r="F26" s="258" t="s">
        <v>82</v>
      </c>
      <c r="G26" s="258"/>
      <c r="H26" s="259"/>
      <c r="I26" s="260">
        <f>SUM(I23:I25)</f>
        <v>354496.05</v>
      </c>
      <c r="J26" s="260"/>
      <c r="K26" s="228"/>
      <c r="L26" s="284"/>
      <c r="M26" s="228"/>
      <c r="N26" s="260"/>
      <c r="O26" s="285"/>
      <c r="P26" s="228"/>
      <c r="Q26" s="254"/>
      <c r="R26" s="256"/>
    </row>
    <row r="27" spans="1:19" ht="15" x14ac:dyDescent="0.2">
      <c r="B27" s="241" t="s">
        <v>39</v>
      </c>
      <c r="D27" s="244"/>
      <c r="E27" s="248"/>
      <c r="F27" s="228"/>
      <c r="G27" s="228"/>
      <c r="H27" s="250"/>
      <c r="I27" s="229"/>
      <c r="J27" s="229"/>
      <c r="K27" s="228"/>
      <c r="L27" s="252"/>
      <c r="M27" s="228"/>
      <c r="N27" s="229"/>
      <c r="O27" s="228"/>
      <c r="P27" s="228"/>
      <c r="Q27" s="254"/>
      <c r="R27" s="286"/>
    </row>
    <row r="28" spans="1:19" x14ac:dyDescent="0.2">
      <c r="B28" s="311"/>
      <c r="C28" s="274"/>
      <c r="D28" s="244" t="s">
        <v>114</v>
      </c>
      <c r="E28" s="248" t="s">
        <v>115</v>
      </c>
      <c r="F28" s="228"/>
      <c r="G28" s="228"/>
      <c r="H28" s="250" t="s">
        <v>128</v>
      </c>
      <c r="I28" s="229">
        <v>99971.58</v>
      </c>
      <c r="J28" s="275">
        <v>1</v>
      </c>
      <c r="K28" s="228" t="s">
        <v>7</v>
      </c>
      <c r="L28" s="252" t="s">
        <v>14</v>
      </c>
      <c r="M28" s="228" t="s">
        <v>105</v>
      </c>
      <c r="N28" s="275">
        <v>1</v>
      </c>
      <c r="O28" s="253">
        <v>0</v>
      </c>
      <c r="P28" s="253">
        <v>0</v>
      </c>
      <c r="Q28" s="254"/>
      <c r="R28" s="256"/>
    </row>
    <row r="29" spans="1:19" ht="28.5" x14ac:dyDescent="0.2">
      <c r="B29" s="311"/>
      <c r="C29" s="274"/>
      <c r="D29" s="267" t="str">
        <f>UPPER("12 seater T-shape Conference Table")</f>
        <v>12 SEATER T-SHAPE CONFERENCE TABLE</v>
      </c>
      <c r="E29" s="268" t="s">
        <v>145</v>
      </c>
      <c r="F29" s="228"/>
      <c r="G29" s="249">
        <v>44208</v>
      </c>
      <c r="H29" s="250" t="s">
        <v>128</v>
      </c>
      <c r="I29" s="229">
        <v>97500</v>
      </c>
      <c r="J29" s="275">
        <v>1</v>
      </c>
      <c r="K29" s="228" t="s">
        <v>7</v>
      </c>
      <c r="L29" s="252" t="s">
        <v>153</v>
      </c>
      <c r="M29" s="228" t="s">
        <v>105</v>
      </c>
      <c r="N29" s="275"/>
      <c r="O29" s="253"/>
      <c r="P29" s="253"/>
      <c r="Q29" s="254"/>
      <c r="R29" s="256"/>
    </row>
    <row r="30" spans="1:19" ht="15" x14ac:dyDescent="0.2">
      <c r="B30" s="311"/>
      <c r="C30" s="274"/>
      <c r="D30" s="244"/>
      <c r="E30" s="248"/>
      <c r="F30" s="258" t="s">
        <v>82</v>
      </c>
      <c r="G30" s="258"/>
      <c r="H30" s="259"/>
      <c r="I30" s="260">
        <f>SUM(I28:I29)</f>
        <v>197471.58000000002</v>
      </c>
      <c r="J30" s="260"/>
      <c r="K30" s="228"/>
      <c r="L30" s="284"/>
      <c r="M30" s="228"/>
      <c r="N30" s="260"/>
      <c r="O30" s="285"/>
      <c r="P30" s="228"/>
      <c r="Q30" s="254"/>
      <c r="R30" s="256"/>
    </row>
    <row r="31" spans="1:19" ht="15" x14ac:dyDescent="0.2">
      <c r="A31" s="224">
        <v>8</v>
      </c>
      <c r="B31" s="241" t="s">
        <v>143</v>
      </c>
      <c r="D31" s="244"/>
      <c r="E31" s="248"/>
      <c r="F31" s="228"/>
      <c r="G31" s="228"/>
      <c r="H31" s="250"/>
      <c r="I31" s="229"/>
      <c r="J31" s="229"/>
      <c r="K31" s="228"/>
      <c r="L31" s="252"/>
      <c r="M31" s="228"/>
      <c r="N31" s="229"/>
      <c r="O31" s="228"/>
      <c r="P31" s="228"/>
      <c r="Q31" s="254"/>
      <c r="R31" s="286"/>
    </row>
    <row r="32" spans="1:19" ht="28.5" x14ac:dyDescent="0.2">
      <c r="B32" s="311"/>
      <c r="C32" s="247">
        <v>38737</v>
      </c>
      <c r="D32" s="244" t="s">
        <v>66</v>
      </c>
      <c r="E32" s="248" t="s">
        <v>36</v>
      </c>
      <c r="F32" s="228"/>
      <c r="G32" s="249">
        <v>38737</v>
      </c>
      <c r="H32" s="250" t="s">
        <v>124</v>
      </c>
      <c r="I32" s="229">
        <v>848000</v>
      </c>
      <c r="J32" s="275">
        <v>1</v>
      </c>
      <c r="K32" s="228" t="s">
        <v>125</v>
      </c>
      <c r="L32" s="252" t="s">
        <v>6</v>
      </c>
      <c r="M32" s="228" t="s">
        <v>105</v>
      </c>
      <c r="N32" s="275">
        <v>1</v>
      </c>
      <c r="O32" s="253">
        <v>0</v>
      </c>
      <c r="P32" s="253">
        <v>0</v>
      </c>
      <c r="Q32" s="254"/>
      <c r="R32" s="256" t="s">
        <v>51</v>
      </c>
    </row>
    <row r="33" spans="2:19" ht="42.75" x14ac:dyDescent="0.2">
      <c r="B33" s="311"/>
      <c r="C33" s="247">
        <v>42636</v>
      </c>
      <c r="D33" s="244" t="s">
        <v>37</v>
      </c>
      <c r="E33" s="248" t="s">
        <v>38</v>
      </c>
      <c r="F33" s="228"/>
      <c r="G33" s="249">
        <v>42636</v>
      </c>
      <c r="H33" s="250" t="s">
        <v>124</v>
      </c>
      <c r="I33" s="229">
        <v>1180000</v>
      </c>
      <c r="J33" s="275">
        <v>1</v>
      </c>
      <c r="K33" s="228" t="s">
        <v>74</v>
      </c>
      <c r="L33" s="252" t="s">
        <v>6</v>
      </c>
      <c r="M33" s="228" t="s">
        <v>105</v>
      </c>
      <c r="N33" s="275">
        <v>1</v>
      </c>
      <c r="O33" s="253">
        <v>0</v>
      </c>
      <c r="P33" s="253">
        <v>0</v>
      </c>
      <c r="Q33" s="254"/>
      <c r="R33" s="256" t="s">
        <v>52</v>
      </c>
    </row>
    <row r="34" spans="2:19" s="237" customFormat="1" ht="42.75" x14ac:dyDescent="0.25">
      <c r="B34" s="322"/>
      <c r="C34" s="287"/>
      <c r="D34" s="244" t="s">
        <v>122</v>
      </c>
      <c r="E34" s="248" t="s">
        <v>123</v>
      </c>
      <c r="G34" s="249">
        <v>44439</v>
      </c>
      <c r="H34" s="250" t="s">
        <v>124</v>
      </c>
      <c r="I34" s="229">
        <v>1397400</v>
      </c>
      <c r="J34" s="251">
        <v>1</v>
      </c>
      <c r="K34" s="228" t="s">
        <v>75</v>
      </c>
      <c r="L34" s="252" t="s">
        <v>6</v>
      </c>
      <c r="M34" s="228" t="s">
        <v>105</v>
      </c>
      <c r="N34" s="275">
        <v>1</v>
      </c>
      <c r="O34" s="253">
        <v>0</v>
      </c>
      <c r="P34" s="253">
        <v>0</v>
      </c>
      <c r="Q34" s="254"/>
      <c r="R34" s="288"/>
      <c r="S34" s="239"/>
    </row>
    <row r="35" spans="2:19" s="237" customFormat="1" ht="15" x14ac:dyDescent="0.25">
      <c r="B35" s="322"/>
      <c r="C35" s="262"/>
      <c r="D35" s="244"/>
      <c r="E35" s="248"/>
      <c r="F35" s="258" t="s">
        <v>82</v>
      </c>
      <c r="G35" s="228"/>
      <c r="H35" s="250"/>
      <c r="I35" s="260">
        <f>SUM(I32:I34)</f>
        <v>3425400</v>
      </c>
      <c r="J35" s="251"/>
      <c r="K35" s="228"/>
      <c r="L35" s="252"/>
      <c r="M35" s="228"/>
      <c r="N35" s="275"/>
      <c r="O35" s="258"/>
      <c r="P35" s="258"/>
      <c r="Q35" s="254"/>
      <c r="R35" s="288"/>
      <c r="S35" s="239"/>
    </row>
    <row r="36" spans="2:19" ht="15" x14ac:dyDescent="0.2">
      <c r="B36" s="241" t="s">
        <v>138</v>
      </c>
      <c r="D36" s="244"/>
      <c r="E36" s="248"/>
      <c r="F36" s="228"/>
      <c r="G36" s="228"/>
      <c r="H36" s="250"/>
      <c r="I36" s="229"/>
      <c r="J36" s="229"/>
      <c r="K36" s="228"/>
      <c r="L36" s="252"/>
      <c r="M36" s="228"/>
      <c r="N36" s="229"/>
      <c r="O36" s="253">
        <v>0</v>
      </c>
      <c r="P36" s="253">
        <v>0</v>
      </c>
      <c r="Q36" s="228"/>
      <c r="R36" s="286"/>
    </row>
    <row r="37" spans="2:19" ht="42.75" x14ac:dyDescent="0.2">
      <c r="B37" s="311"/>
      <c r="C37" s="274" t="s">
        <v>76</v>
      </c>
      <c r="D37" s="244" t="s">
        <v>9</v>
      </c>
      <c r="E37" s="248" t="s">
        <v>10</v>
      </c>
      <c r="F37" s="228">
        <v>2486201743</v>
      </c>
      <c r="G37" s="249">
        <v>40919</v>
      </c>
      <c r="H37" s="250" t="s">
        <v>128</v>
      </c>
      <c r="I37" s="229">
        <v>55000</v>
      </c>
      <c r="J37" s="275">
        <v>1</v>
      </c>
      <c r="K37" s="228" t="s">
        <v>19</v>
      </c>
      <c r="L37" s="252" t="s">
        <v>83</v>
      </c>
      <c r="M37" s="228" t="s">
        <v>105</v>
      </c>
      <c r="N37" s="275">
        <v>1</v>
      </c>
      <c r="O37" s="253">
        <v>0</v>
      </c>
      <c r="P37" s="253">
        <v>0</v>
      </c>
      <c r="Q37" s="254"/>
      <c r="R37" s="256" t="s">
        <v>41</v>
      </c>
    </row>
    <row r="38" spans="2:19" ht="28.5" x14ac:dyDescent="0.2">
      <c r="B38" s="311"/>
      <c r="C38" s="247">
        <v>41269</v>
      </c>
      <c r="D38" s="244" t="s">
        <v>11</v>
      </c>
      <c r="E38" s="248" t="s">
        <v>12</v>
      </c>
      <c r="F38" s="228" t="s">
        <v>13</v>
      </c>
      <c r="G38" s="249">
        <v>41269</v>
      </c>
      <c r="H38" s="250" t="s">
        <v>128</v>
      </c>
      <c r="I38" s="229">
        <v>81600</v>
      </c>
      <c r="J38" s="275">
        <v>1</v>
      </c>
      <c r="K38" s="228" t="s">
        <v>7</v>
      </c>
      <c r="L38" s="252" t="s">
        <v>14</v>
      </c>
      <c r="M38" s="228" t="s">
        <v>105</v>
      </c>
      <c r="N38" s="275">
        <v>1</v>
      </c>
      <c r="O38" s="253">
        <v>0</v>
      </c>
      <c r="P38" s="253">
        <v>0</v>
      </c>
      <c r="Q38" s="254"/>
      <c r="R38" s="256" t="s">
        <v>42</v>
      </c>
    </row>
    <row r="39" spans="2:19" ht="28.5" x14ac:dyDescent="0.2">
      <c r="B39" s="311"/>
      <c r="C39" s="247">
        <v>41269</v>
      </c>
      <c r="D39" s="244" t="s">
        <v>11</v>
      </c>
      <c r="E39" s="248" t="s">
        <v>15</v>
      </c>
      <c r="F39" s="228" t="s">
        <v>16</v>
      </c>
      <c r="G39" s="249">
        <v>41269</v>
      </c>
      <c r="H39" s="250" t="s">
        <v>128</v>
      </c>
      <c r="I39" s="229">
        <v>81600</v>
      </c>
      <c r="J39" s="275">
        <v>1</v>
      </c>
      <c r="K39" s="228" t="s">
        <v>7</v>
      </c>
      <c r="L39" s="252" t="s">
        <v>14</v>
      </c>
      <c r="M39" s="228" t="s">
        <v>105</v>
      </c>
      <c r="N39" s="275">
        <v>1</v>
      </c>
      <c r="O39" s="253">
        <v>0</v>
      </c>
      <c r="P39" s="253">
        <v>0</v>
      </c>
      <c r="Q39" s="254"/>
      <c r="R39" s="256" t="s">
        <v>43</v>
      </c>
    </row>
    <row r="40" spans="2:19" ht="28.5" x14ac:dyDescent="0.2">
      <c r="B40" s="311"/>
      <c r="C40" s="247">
        <v>42718</v>
      </c>
      <c r="D40" s="244" t="s">
        <v>17</v>
      </c>
      <c r="E40" s="248" t="s">
        <v>18</v>
      </c>
      <c r="F40" s="228"/>
      <c r="G40" s="249">
        <v>42718</v>
      </c>
      <c r="H40" s="250" t="s">
        <v>128</v>
      </c>
      <c r="I40" s="229">
        <v>68000</v>
      </c>
      <c r="J40" s="275">
        <v>1</v>
      </c>
      <c r="K40" s="228" t="s">
        <v>73</v>
      </c>
      <c r="L40" s="252" t="s">
        <v>109</v>
      </c>
      <c r="M40" s="228" t="s">
        <v>105</v>
      </c>
      <c r="N40" s="275">
        <v>1</v>
      </c>
      <c r="O40" s="253">
        <v>0</v>
      </c>
      <c r="P40" s="253">
        <v>0</v>
      </c>
      <c r="Q40" s="254"/>
      <c r="R40" s="256" t="s">
        <v>44</v>
      </c>
    </row>
    <row r="41" spans="2:19" ht="28.5" x14ac:dyDescent="0.2">
      <c r="B41" s="311"/>
      <c r="C41" s="247"/>
      <c r="D41" s="289" t="s">
        <v>139</v>
      </c>
      <c r="E41" s="228" t="s">
        <v>140</v>
      </c>
      <c r="F41" s="228"/>
      <c r="G41" s="249">
        <v>44656</v>
      </c>
      <c r="H41" s="250" t="s">
        <v>128</v>
      </c>
      <c r="I41" s="229">
        <v>106000</v>
      </c>
      <c r="J41" s="275">
        <v>1</v>
      </c>
      <c r="K41" s="228" t="s">
        <v>7</v>
      </c>
      <c r="L41" s="252" t="s">
        <v>141</v>
      </c>
      <c r="M41" s="228" t="s">
        <v>105</v>
      </c>
      <c r="N41" s="275">
        <v>1</v>
      </c>
      <c r="O41" s="253"/>
      <c r="P41" s="253"/>
      <c r="Q41" s="254"/>
      <c r="R41" s="256"/>
    </row>
    <row r="42" spans="2:19" s="237" customFormat="1" ht="15" x14ac:dyDescent="0.25">
      <c r="B42" s="322"/>
      <c r="C42" s="287"/>
      <c r="D42" s="263"/>
      <c r="E42" s="264"/>
      <c r="F42" s="258" t="s">
        <v>82</v>
      </c>
      <c r="G42" s="258"/>
      <c r="H42" s="250"/>
      <c r="I42" s="260">
        <f>SUM(I37:I41)</f>
        <v>392200</v>
      </c>
      <c r="J42" s="260"/>
      <c r="K42" s="258"/>
      <c r="L42" s="265"/>
      <c r="M42" s="258"/>
      <c r="N42" s="260"/>
      <c r="O42" s="258"/>
      <c r="P42" s="258"/>
      <c r="Q42" s="254"/>
      <c r="R42" s="288"/>
      <c r="S42" s="239"/>
    </row>
    <row r="43" spans="2:19" ht="15" x14ac:dyDescent="0.2">
      <c r="B43" s="241" t="s">
        <v>144</v>
      </c>
      <c r="D43" s="244"/>
      <c r="E43" s="248"/>
      <c r="F43" s="228"/>
      <c r="G43" s="228"/>
      <c r="H43" s="250"/>
      <c r="I43" s="229"/>
      <c r="J43" s="229"/>
      <c r="K43" s="228"/>
      <c r="L43" s="252"/>
      <c r="M43" s="228"/>
      <c r="N43" s="229"/>
      <c r="O43" s="228"/>
      <c r="P43" s="228"/>
      <c r="Q43" s="254"/>
      <c r="R43" s="286"/>
    </row>
    <row r="44" spans="2:19" ht="42.75" x14ac:dyDescent="0.2">
      <c r="B44" s="311"/>
      <c r="C44" s="274" t="s">
        <v>78</v>
      </c>
      <c r="D44" s="244" t="s">
        <v>24</v>
      </c>
      <c r="E44" s="248" t="s">
        <v>25</v>
      </c>
      <c r="F44" s="228">
        <v>1227070326</v>
      </c>
      <c r="G44" s="249">
        <v>38952</v>
      </c>
      <c r="H44" s="250" t="s">
        <v>118</v>
      </c>
      <c r="I44" s="229">
        <v>80590</v>
      </c>
      <c r="J44" s="275">
        <v>1</v>
      </c>
      <c r="K44" s="228" t="s">
        <v>73</v>
      </c>
      <c r="L44" s="252" t="s">
        <v>109</v>
      </c>
      <c r="M44" s="228" t="s">
        <v>105</v>
      </c>
      <c r="N44" s="275">
        <v>1</v>
      </c>
      <c r="O44" s="253">
        <v>0</v>
      </c>
      <c r="P44" s="253">
        <v>0</v>
      </c>
      <c r="Q44" s="254"/>
      <c r="R44" s="256" t="s">
        <v>46</v>
      </c>
    </row>
    <row r="45" spans="2:19" ht="42.75" x14ac:dyDescent="0.2">
      <c r="B45" s="311"/>
      <c r="C45" s="274" t="s">
        <v>79</v>
      </c>
      <c r="D45" s="244" t="s">
        <v>26</v>
      </c>
      <c r="E45" s="248" t="s">
        <v>27</v>
      </c>
      <c r="F45" s="228" t="s">
        <v>28</v>
      </c>
      <c r="G45" s="249">
        <v>39352</v>
      </c>
      <c r="H45" s="250" t="s">
        <v>118</v>
      </c>
      <c r="I45" s="229">
        <v>55000</v>
      </c>
      <c r="J45" s="275">
        <v>1</v>
      </c>
      <c r="K45" s="228" t="s">
        <v>73</v>
      </c>
      <c r="L45" s="252" t="s">
        <v>109</v>
      </c>
      <c r="M45" s="228" t="s">
        <v>105</v>
      </c>
      <c r="N45" s="275">
        <v>1</v>
      </c>
      <c r="O45" s="253">
        <v>0</v>
      </c>
      <c r="P45" s="253">
        <v>0</v>
      </c>
      <c r="Q45" s="254"/>
      <c r="R45" s="256" t="s">
        <v>47</v>
      </c>
    </row>
    <row r="46" spans="2:19" ht="42.75" x14ac:dyDescent="0.2">
      <c r="B46" s="311"/>
      <c r="C46" s="274" t="s">
        <v>80</v>
      </c>
      <c r="D46" s="244" t="s">
        <v>29</v>
      </c>
      <c r="E46" s="248" t="s">
        <v>30</v>
      </c>
      <c r="F46" s="228">
        <v>10050233</v>
      </c>
      <c r="G46" s="249">
        <v>40595</v>
      </c>
      <c r="H46" s="250" t="s">
        <v>118</v>
      </c>
      <c r="I46" s="229">
        <v>299500</v>
      </c>
      <c r="J46" s="275">
        <v>1</v>
      </c>
      <c r="K46" s="228" t="s">
        <v>73</v>
      </c>
      <c r="L46" s="252" t="s">
        <v>109</v>
      </c>
      <c r="M46" s="228" t="s">
        <v>105</v>
      </c>
      <c r="N46" s="275">
        <v>1</v>
      </c>
      <c r="O46" s="253">
        <v>0</v>
      </c>
      <c r="P46" s="253">
        <v>0</v>
      </c>
      <c r="Q46" s="254"/>
      <c r="R46" s="256" t="s">
        <v>48</v>
      </c>
    </row>
    <row r="47" spans="2:19" ht="28.5" x14ac:dyDescent="0.2">
      <c r="B47" s="311"/>
      <c r="C47" s="274" t="s">
        <v>81</v>
      </c>
      <c r="D47" s="244" t="s">
        <v>31</v>
      </c>
      <c r="E47" s="248" t="s">
        <v>32</v>
      </c>
      <c r="F47" s="228"/>
      <c r="G47" s="249">
        <v>42857</v>
      </c>
      <c r="H47" s="250" t="s">
        <v>118</v>
      </c>
      <c r="I47" s="229">
        <v>63930</v>
      </c>
      <c r="J47" s="275">
        <v>1</v>
      </c>
      <c r="K47" s="228" t="s">
        <v>73</v>
      </c>
      <c r="L47" s="252" t="s">
        <v>109</v>
      </c>
      <c r="M47" s="228" t="s">
        <v>105</v>
      </c>
      <c r="N47" s="275">
        <v>1</v>
      </c>
      <c r="O47" s="253">
        <v>0</v>
      </c>
      <c r="P47" s="253">
        <v>0</v>
      </c>
      <c r="Q47" s="254"/>
      <c r="R47" s="256" t="s">
        <v>49</v>
      </c>
    </row>
    <row r="48" spans="2:19" ht="28.5" x14ac:dyDescent="0.2">
      <c r="B48" s="311"/>
      <c r="C48" s="247">
        <v>41591</v>
      </c>
      <c r="D48" s="244" t="s">
        <v>33</v>
      </c>
      <c r="E48" s="248" t="s">
        <v>34</v>
      </c>
      <c r="F48" s="228" t="s">
        <v>35</v>
      </c>
      <c r="G48" s="249">
        <v>41591</v>
      </c>
      <c r="H48" s="250" t="s">
        <v>128</v>
      </c>
      <c r="I48" s="229">
        <v>248000</v>
      </c>
      <c r="J48" s="275">
        <v>1</v>
      </c>
      <c r="K48" s="228" t="s">
        <v>73</v>
      </c>
      <c r="L48" s="252" t="s">
        <v>109</v>
      </c>
      <c r="M48" s="228" t="s">
        <v>105</v>
      </c>
      <c r="N48" s="275">
        <v>1</v>
      </c>
      <c r="O48" s="253">
        <v>0</v>
      </c>
      <c r="P48" s="253">
        <v>0</v>
      </c>
      <c r="Q48" s="254"/>
      <c r="R48" s="256" t="s">
        <v>50</v>
      </c>
    </row>
    <row r="49" spans="1:19" x14ac:dyDescent="0.2">
      <c r="B49" s="311"/>
      <c r="C49" s="247" t="s">
        <v>87</v>
      </c>
      <c r="D49" s="244" t="s">
        <v>113</v>
      </c>
      <c r="E49" s="248" t="s">
        <v>88</v>
      </c>
      <c r="F49" s="228" t="s">
        <v>89</v>
      </c>
      <c r="G49" s="280">
        <v>44421</v>
      </c>
      <c r="H49" s="250" t="s">
        <v>128</v>
      </c>
      <c r="I49" s="229">
        <v>471744</v>
      </c>
      <c r="J49" s="275">
        <v>1</v>
      </c>
      <c r="K49" s="228" t="s">
        <v>73</v>
      </c>
      <c r="L49" s="252" t="s">
        <v>109</v>
      </c>
      <c r="M49" s="228" t="s">
        <v>105</v>
      </c>
      <c r="N49" s="275">
        <v>1</v>
      </c>
      <c r="O49" s="253">
        <v>0</v>
      </c>
      <c r="P49" s="253">
        <v>0</v>
      </c>
      <c r="Q49" s="254"/>
      <c r="R49" s="256"/>
    </row>
    <row r="50" spans="1:19" x14ac:dyDescent="0.2">
      <c r="B50" s="311"/>
      <c r="C50" s="247" t="s">
        <v>90</v>
      </c>
      <c r="D50" s="244" t="s">
        <v>112</v>
      </c>
      <c r="E50" s="248" t="s">
        <v>91</v>
      </c>
      <c r="F50" s="228" t="s">
        <v>92</v>
      </c>
      <c r="G50" s="290">
        <v>44524</v>
      </c>
      <c r="H50" s="250" t="s">
        <v>128</v>
      </c>
      <c r="I50" s="229">
        <v>285600</v>
      </c>
      <c r="J50" s="275">
        <v>1</v>
      </c>
      <c r="K50" s="228" t="s">
        <v>73</v>
      </c>
      <c r="L50" s="252" t="s">
        <v>109</v>
      </c>
      <c r="M50" s="228" t="s">
        <v>105</v>
      </c>
      <c r="N50" s="275">
        <v>1</v>
      </c>
      <c r="O50" s="253">
        <v>0</v>
      </c>
      <c r="P50" s="253">
        <v>0</v>
      </c>
      <c r="Q50" s="254"/>
      <c r="R50" s="256"/>
    </row>
    <row r="51" spans="1:19" s="237" customFormat="1" ht="15" x14ac:dyDescent="0.25">
      <c r="B51" s="322"/>
      <c r="C51" s="287"/>
      <c r="D51" s="263"/>
      <c r="E51" s="264"/>
      <c r="F51" s="258" t="s">
        <v>82</v>
      </c>
      <c r="G51" s="258"/>
      <c r="H51" s="259"/>
      <c r="I51" s="260">
        <f>SUM(I44:I50)</f>
        <v>1504364</v>
      </c>
      <c r="J51" s="260"/>
      <c r="K51" s="258"/>
      <c r="L51" s="291"/>
      <c r="M51" s="258"/>
      <c r="N51" s="260"/>
      <c r="O51" s="292"/>
      <c r="P51" s="258"/>
      <c r="Q51" s="254"/>
      <c r="R51" s="288"/>
      <c r="S51" s="239"/>
    </row>
    <row r="52" spans="1:19" ht="15" x14ac:dyDescent="0.2">
      <c r="B52" s="241" t="s">
        <v>142</v>
      </c>
      <c r="D52" s="244"/>
      <c r="E52" s="248"/>
      <c r="F52" s="228"/>
      <c r="G52" s="228"/>
      <c r="H52" s="250"/>
      <c r="I52" s="229"/>
      <c r="J52" s="275"/>
      <c r="K52" s="228"/>
      <c r="L52" s="252"/>
      <c r="M52" s="228"/>
      <c r="N52" s="275"/>
      <c r="O52" s="253"/>
      <c r="P52" s="253"/>
      <c r="Q52" s="254"/>
      <c r="R52" s="286"/>
    </row>
    <row r="53" spans="1:19" x14ac:dyDescent="0.2">
      <c r="B53" s="311"/>
      <c r="C53" s="293" t="s">
        <v>93</v>
      </c>
      <c r="D53" s="294" t="s">
        <v>94</v>
      </c>
      <c r="E53" s="295" t="s">
        <v>95</v>
      </c>
      <c r="F53" s="254"/>
      <c r="G53" s="254"/>
      <c r="H53" s="250" t="s">
        <v>128</v>
      </c>
      <c r="I53" s="296">
        <v>439700</v>
      </c>
      <c r="J53" s="275">
        <v>1</v>
      </c>
      <c r="K53" s="254" t="s">
        <v>23</v>
      </c>
      <c r="L53" s="297" t="s">
        <v>108</v>
      </c>
      <c r="M53" s="254" t="s">
        <v>107</v>
      </c>
      <c r="N53" s="275">
        <v>1</v>
      </c>
      <c r="O53" s="253">
        <v>0</v>
      </c>
      <c r="P53" s="253">
        <v>0</v>
      </c>
      <c r="Q53" s="254"/>
      <c r="R53" s="298"/>
    </row>
    <row r="54" spans="1:19" ht="15" x14ac:dyDescent="0.25">
      <c r="A54" s="299"/>
      <c r="B54" s="311"/>
      <c r="C54" s="300"/>
      <c r="D54" s="301"/>
      <c r="E54" s="302"/>
      <c r="F54" s="258" t="s">
        <v>82</v>
      </c>
      <c r="G54" s="258"/>
      <c r="H54" s="259"/>
      <c r="I54" s="303">
        <f>SUM(I53:I53)</f>
        <v>439700</v>
      </c>
      <c r="J54" s="303"/>
      <c r="K54" s="304"/>
      <c r="L54" s="305"/>
      <c r="M54" s="304"/>
      <c r="N54" s="303"/>
      <c r="O54" s="306"/>
      <c r="P54" s="304"/>
      <c r="Q54" s="304"/>
    </row>
    <row r="55" spans="1:19" x14ac:dyDescent="0.2">
      <c r="I55" s="233">
        <f>+I17+I21+I26+I30+I35+I42+I51+I54</f>
        <v>9941538.3499999996</v>
      </c>
    </row>
    <row r="57" spans="1:19" x14ac:dyDescent="0.2">
      <c r="D57" s="227" t="s">
        <v>677</v>
      </c>
      <c r="G57" s="224"/>
      <c r="H57" s="227" t="s">
        <v>679</v>
      </c>
      <c r="L57" s="227"/>
      <c r="M57" s="224" t="s">
        <v>680</v>
      </c>
      <c r="O57" s="233" t="s">
        <v>680</v>
      </c>
    </row>
    <row r="58" spans="1:19" x14ac:dyDescent="0.2">
      <c r="D58" s="227"/>
      <c r="G58" s="224"/>
      <c r="H58" s="227"/>
      <c r="L58" s="227"/>
      <c r="O58" s="233"/>
    </row>
    <row r="59" spans="1:19" x14ac:dyDescent="0.2">
      <c r="D59" s="227"/>
      <c r="G59" s="224"/>
      <c r="H59" s="227"/>
      <c r="L59" s="227"/>
      <c r="O59" s="233"/>
    </row>
    <row r="60" spans="1:19" ht="15" x14ac:dyDescent="0.25">
      <c r="D60" s="307" t="s">
        <v>673</v>
      </c>
      <c r="G60" s="224"/>
      <c r="H60" s="307" t="s">
        <v>85</v>
      </c>
      <c r="L60" s="307"/>
      <c r="M60" s="223"/>
      <c r="O60" s="308"/>
      <c r="P60" s="309"/>
    </row>
    <row r="61" spans="1:19" x14ac:dyDescent="0.2">
      <c r="D61" s="227" t="s">
        <v>678</v>
      </c>
      <c r="G61" s="224"/>
      <c r="H61" s="227" t="s">
        <v>133</v>
      </c>
      <c r="L61" s="227"/>
      <c r="M61" s="224" t="s">
        <v>681</v>
      </c>
      <c r="O61" s="233" t="s">
        <v>681</v>
      </c>
    </row>
    <row r="67" spans="2:19" s="233" customFormat="1" x14ac:dyDescent="0.2">
      <c r="B67" s="310"/>
      <c r="C67" s="224"/>
      <c r="D67" s="224"/>
      <c r="E67" s="232"/>
      <c r="F67" s="227"/>
      <c r="G67" s="227"/>
      <c r="H67" s="226"/>
      <c r="K67" s="227"/>
      <c r="L67" s="230"/>
      <c r="M67" s="227"/>
      <c r="O67" s="227"/>
      <c r="P67" s="227"/>
      <c r="Q67" s="227"/>
      <c r="R67" s="224"/>
      <c r="S67" s="310"/>
    </row>
    <row r="68" spans="2:19" s="233" customFormat="1" x14ac:dyDescent="0.2">
      <c r="B68" s="310"/>
      <c r="C68" s="224"/>
      <c r="D68" s="224"/>
      <c r="E68" s="232"/>
      <c r="F68" s="227"/>
      <c r="G68" s="227"/>
      <c r="H68" s="226"/>
      <c r="K68" s="227"/>
      <c r="L68" s="230"/>
      <c r="M68" s="227"/>
      <c r="O68" s="227"/>
      <c r="P68" s="227"/>
      <c r="Q68" s="227"/>
      <c r="R68" s="224"/>
      <c r="S68" s="310"/>
    </row>
  </sheetData>
  <autoFilter ref="K1:K68"/>
  <mergeCells count="20">
    <mergeCell ref="Q1:R1"/>
    <mergeCell ref="B2:Q2"/>
    <mergeCell ref="B3:Q3"/>
    <mergeCell ref="B4:Q4"/>
    <mergeCell ref="B6:Q6"/>
    <mergeCell ref="B7:Q7"/>
    <mergeCell ref="B12:B13"/>
    <mergeCell ref="D12:D13"/>
    <mergeCell ref="E12:E13"/>
    <mergeCell ref="F12:F13"/>
    <mergeCell ref="G12:G13"/>
    <mergeCell ref="O12:P12"/>
    <mergeCell ref="Q12:Q13"/>
    <mergeCell ref="I12:I13"/>
    <mergeCell ref="J12:J13"/>
    <mergeCell ref="K12:K13"/>
    <mergeCell ref="L12:L13"/>
    <mergeCell ref="M12:M13"/>
    <mergeCell ref="N12:N13"/>
    <mergeCell ref="H12:H13"/>
  </mergeCells>
  <conditionalFormatting sqref="M24 M26:M53 M20:M22 M14:M18">
    <cfRule type="cellIs" dxfId="24" priority="6" operator="equal">
      <formula>#REF!</formula>
    </cfRule>
  </conditionalFormatting>
  <conditionalFormatting sqref="E41">
    <cfRule type="duplicateValues" dxfId="23" priority="5"/>
  </conditionalFormatting>
  <conditionalFormatting sqref="M23">
    <cfRule type="cellIs" dxfId="22" priority="4" operator="equal">
      <formula>#REF!</formula>
    </cfRule>
  </conditionalFormatting>
  <conditionalFormatting sqref="M25">
    <cfRule type="cellIs" dxfId="21" priority="3" operator="equal">
      <formula>#REF!</formula>
    </cfRule>
  </conditionalFormatting>
  <conditionalFormatting sqref="M19">
    <cfRule type="cellIs" dxfId="20" priority="2" operator="equal">
      <formula>#REF!</formula>
    </cfRule>
  </conditionalFormatting>
  <conditionalFormatting sqref="E20">
    <cfRule type="duplicateValues" dxfId="19" priority="1"/>
  </conditionalFormatting>
  <hyperlinks>
    <hyperlink ref="R37" r:id="rId1"/>
    <hyperlink ref="R38" r:id="rId2"/>
    <hyperlink ref="R39" r:id="rId3"/>
    <hyperlink ref="R40" r:id="rId4"/>
    <hyperlink ref="R44" r:id="rId5"/>
    <hyperlink ref="R45" r:id="rId6"/>
    <hyperlink ref="R46" r:id="rId7"/>
    <hyperlink ref="R47" r:id="rId8"/>
    <hyperlink ref="R48" r:id="rId9"/>
    <hyperlink ref="R32" r:id="rId10"/>
    <hyperlink ref="R33" r:id="rId11"/>
    <hyperlink ref="R15" r:id="rId12"/>
    <hyperlink ref="R23" r:id="rId13"/>
  </hyperlinks>
  <printOptions horizontalCentered="1"/>
  <pageMargins left="0.11811023622047245" right="0.11811023622047245" top="0.39370078740157483" bottom="0.39370078740157483" header="0" footer="0"/>
  <pageSetup paperSize="14" scale="85" fitToWidth="0" fitToHeight="0" orientation="landscape" horizontalDpi="0" verticalDpi="0" r:id="rId14"/>
  <headerFooter>
    <oddFooter>&amp;C&amp;P OF &amp;N</oddFooter>
  </headerFooter>
  <colBreaks count="1" manualBreakCount="1">
    <brk id="17" max="57" man="1"/>
  </colBreaks>
  <legacyDrawing r:id="rId1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375"/>
  <sheetViews>
    <sheetView zoomScaleNormal="100" zoomScaleSheetLayoutView="100" workbookViewId="0">
      <selection activeCell="A8" sqref="A8:A9"/>
    </sheetView>
  </sheetViews>
  <sheetFormatPr defaultRowHeight="15" x14ac:dyDescent="0.25"/>
  <cols>
    <col min="1" max="1" width="12.7109375" style="135" customWidth="1"/>
    <col min="2" max="2" width="49.28515625" style="136" customWidth="1"/>
    <col min="3" max="3" width="11.140625" style="136" customWidth="1"/>
    <col min="4" max="4" width="16.85546875" style="136" customWidth="1"/>
    <col min="5" max="5" width="12" style="137" customWidth="1"/>
    <col min="6" max="6" width="25" style="136" customWidth="1"/>
    <col min="7" max="7" width="13.28515625" style="138" customWidth="1"/>
    <col min="8" max="8" width="13.42578125" style="136" customWidth="1"/>
    <col min="9" max="9" width="10.85546875" style="136" customWidth="1"/>
    <col min="10" max="11" width="8.42578125" style="135" customWidth="1"/>
    <col min="12" max="12" width="11.140625" style="135" customWidth="1"/>
    <col min="13" max="13" width="10.7109375" style="135" bestFit="1" customWidth="1"/>
    <col min="14" max="14" width="9.140625" style="135"/>
    <col min="15" max="15" width="11" style="135" bestFit="1" customWidth="1"/>
    <col min="16" max="16" width="11.5703125" style="135" bestFit="1" customWidth="1"/>
    <col min="17" max="16384" width="9.140625" style="135"/>
  </cols>
  <sheetData>
    <row r="2" spans="1:11" ht="15.75" x14ac:dyDescent="0.25">
      <c r="A2" s="430" t="s">
        <v>53</v>
      </c>
      <c r="B2" s="430"/>
      <c r="C2" s="430"/>
      <c r="D2" s="430"/>
      <c r="E2" s="430"/>
      <c r="F2" s="430"/>
      <c r="G2" s="430"/>
      <c r="H2" s="430"/>
      <c r="I2" s="430"/>
      <c r="J2" s="430"/>
      <c r="K2" s="188"/>
    </row>
    <row r="3" spans="1:11" x14ac:dyDescent="0.25">
      <c r="A3" s="431" t="s">
        <v>159</v>
      </c>
      <c r="B3" s="431"/>
      <c r="C3" s="431"/>
      <c r="D3" s="431"/>
      <c r="E3" s="431"/>
      <c r="F3" s="431"/>
      <c r="G3" s="431"/>
      <c r="H3" s="431"/>
      <c r="I3" s="431"/>
      <c r="J3" s="431"/>
      <c r="K3" s="189"/>
    </row>
    <row r="4" spans="1:11" x14ac:dyDescent="0.25">
      <c r="A4" s="431" t="s">
        <v>160</v>
      </c>
      <c r="B4" s="431"/>
      <c r="C4" s="431"/>
      <c r="D4" s="431"/>
      <c r="E4" s="431"/>
      <c r="F4" s="431"/>
      <c r="G4" s="431"/>
      <c r="H4" s="431"/>
      <c r="I4" s="431"/>
      <c r="J4" s="431"/>
      <c r="K4" s="189"/>
    </row>
    <row r="5" spans="1:11" ht="15.75" x14ac:dyDescent="0.25">
      <c r="A5" s="430" t="s">
        <v>161</v>
      </c>
      <c r="B5" s="430"/>
      <c r="C5" s="430"/>
      <c r="D5" s="430"/>
      <c r="E5" s="430"/>
      <c r="F5" s="430"/>
      <c r="G5" s="430"/>
      <c r="H5" s="430"/>
      <c r="I5" s="430"/>
      <c r="J5" s="430"/>
      <c r="K5" s="188"/>
    </row>
    <row r="6" spans="1:11" x14ac:dyDescent="0.25">
      <c r="A6" s="431" t="s">
        <v>162</v>
      </c>
      <c r="B6" s="431"/>
      <c r="C6" s="431"/>
      <c r="D6" s="431"/>
      <c r="E6" s="431"/>
      <c r="F6" s="431"/>
      <c r="G6" s="431"/>
      <c r="H6" s="431"/>
      <c r="I6" s="431"/>
      <c r="J6" s="431"/>
      <c r="K6" s="189"/>
    </row>
    <row r="7" spans="1:11" x14ac:dyDescent="0.25">
      <c r="A7" s="139" t="s">
        <v>675</v>
      </c>
    </row>
    <row r="8" spans="1:11" s="139" customFormat="1" ht="16.5" customHeight="1" x14ac:dyDescent="0.25">
      <c r="A8" s="429" t="s">
        <v>163</v>
      </c>
      <c r="B8" s="428" t="s">
        <v>164</v>
      </c>
      <c r="C8" s="432" t="s">
        <v>165</v>
      </c>
      <c r="D8" s="428" t="s">
        <v>166</v>
      </c>
      <c r="E8" s="433" t="s">
        <v>167</v>
      </c>
      <c r="F8" s="428" t="s">
        <v>168</v>
      </c>
      <c r="G8" s="428" t="s">
        <v>169</v>
      </c>
      <c r="H8" s="428"/>
      <c r="I8" s="428" t="s">
        <v>170</v>
      </c>
      <c r="J8" s="429" t="s">
        <v>171</v>
      </c>
      <c r="K8" s="190"/>
    </row>
    <row r="9" spans="1:11" s="139" customFormat="1" ht="56.25" customHeight="1" x14ac:dyDescent="0.25">
      <c r="A9" s="429"/>
      <c r="B9" s="428"/>
      <c r="C9" s="432"/>
      <c r="D9" s="428"/>
      <c r="E9" s="433"/>
      <c r="F9" s="428"/>
      <c r="G9" s="127" t="s">
        <v>172</v>
      </c>
      <c r="H9" s="123" t="s">
        <v>173</v>
      </c>
      <c r="I9" s="428"/>
      <c r="J9" s="429"/>
      <c r="K9" s="190"/>
    </row>
    <row r="10" spans="1:11" s="139" customFormat="1" x14ac:dyDescent="0.25">
      <c r="A10" s="128" t="s">
        <v>174</v>
      </c>
      <c r="B10" s="125" t="s">
        <v>175</v>
      </c>
      <c r="C10" s="125" t="s">
        <v>176</v>
      </c>
      <c r="D10" s="125" t="s">
        <v>177</v>
      </c>
      <c r="E10" s="126" t="s">
        <v>178</v>
      </c>
      <c r="F10" s="125" t="s">
        <v>179</v>
      </c>
      <c r="G10" s="127" t="s">
        <v>180</v>
      </c>
      <c r="H10" s="125" t="s">
        <v>181</v>
      </c>
      <c r="I10" s="125" t="s">
        <v>182</v>
      </c>
      <c r="J10" s="124" t="s">
        <v>183</v>
      </c>
      <c r="K10" s="191"/>
    </row>
    <row r="11" spans="1:11" ht="15" hidden="1" customHeight="1" x14ac:dyDescent="0.25">
      <c r="A11" s="466" t="s">
        <v>188</v>
      </c>
      <c r="B11" s="466"/>
      <c r="C11" s="100"/>
      <c r="D11" s="104"/>
      <c r="E11" s="101"/>
      <c r="F11" s="102"/>
      <c r="G11" s="103"/>
      <c r="H11" s="94"/>
      <c r="I11" s="94"/>
      <c r="J11" s="98"/>
      <c r="K11" s="118"/>
    </row>
    <row r="12" spans="1:11" ht="15.75" hidden="1" customHeight="1" x14ac:dyDescent="0.25">
      <c r="A12" s="93" t="s">
        <v>189</v>
      </c>
      <c r="B12" s="94"/>
      <c r="C12" s="100"/>
      <c r="D12" s="100"/>
      <c r="E12" s="96"/>
      <c r="F12" s="95"/>
      <c r="G12" s="97"/>
      <c r="H12" s="94"/>
      <c r="I12" s="94"/>
      <c r="J12" s="98"/>
      <c r="K12" s="118"/>
    </row>
    <row r="13" spans="1:11" ht="15.75" hidden="1" customHeight="1" x14ac:dyDescent="0.25">
      <c r="A13" s="93"/>
      <c r="B13" s="134" t="s">
        <v>190</v>
      </c>
      <c r="C13" s="100"/>
      <c r="D13" s="100"/>
      <c r="E13" s="140">
        <v>40438</v>
      </c>
      <c r="F13" s="129" t="s">
        <v>191</v>
      </c>
      <c r="G13" s="141">
        <v>2880</v>
      </c>
      <c r="H13" s="94"/>
      <c r="I13" s="94"/>
      <c r="J13" s="98"/>
      <c r="K13" s="118"/>
    </row>
    <row r="14" spans="1:11" s="144" customFormat="1" ht="15.75" hidden="1" customHeight="1" x14ac:dyDescent="0.25">
      <c r="A14" s="106"/>
      <c r="B14" s="99" t="s">
        <v>192</v>
      </c>
      <c r="C14" s="100" t="s">
        <v>184</v>
      </c>
      <c r="D14" s="104" t="s">
        <v>186</v>
      </c>
      <c r="E14" s="105">
        <v>41365</v>
      </c>
      <c r="F14" s="142" t="s">
        <v>193</v>
      </c>
      <c r="G14" s="143">
        <v>3896.5</v>
      </c>
      <c r="H14" s="94"/>
      <c r="I14" s="94"/>
      <c r="J14" s="107"/>
      <c r="K14" s="192"/>
    </row>
    <row r="15" spans="1:11" ht="15.75" hidden="1" customHeight="1" x14ac:dyDescent="0.25">
      <c r="A15" s="93"/>
      <c r="B15" s="145" t="s">
        <v>194</v>
      </c>
      <c r="C15" s="100" t="s">
        <v>184</v>
      </c>
      <c r="D15" s="104" t="s">
        <v>186</v>
      </c>
      <c r="E15" s="105">
        <v>40486</v>
      </c>
      <c r="F15" s="142" t="s">
        <v>195</v>
      </c>
      <c r="G15" s="143">
        <v>10750</v>
      </c>
      <c r="H15" s="94"/>
      <c r="I15" s="94"/>
      <c r="J15" s="98"/>
      <c r="K15" s="118"/>
    </row>
    <row r="16" spans="1:11" ht="15.75" hidden="1" customHeight="1" x14ac:dyDescent="0.25">
      <c r="A16" s="93"/>
      <c r="B16" s="145" t="s">
        <v>196</v>
      </c>
      <c r="C16" s="100" t="s">
        <v>184</v>
      </c>
      <c r="D16" s="104" t="s">
        <v>186</v>
      </c>
      <c r="E16" s="105">
        <v>41551</v>
      </c>
      <c r="F16" s="142" t="s">
        <v>197</v>
      </c>
      <c r="G16" s="143">
        <v>7900</v>
      </c>
      <c r="H16" s="94"/>
      <c r="I16" s="94"/>
      <c r="J16" s="98"/>
      <c r="K16" s="118"/>
    </row>
    <row r="17" spans="1:11" ht="15.75" hidden="1" customHeight="1" x14ac:dyDescent="0.25">
      <c r="A17" s="93"/>
      <c r="B17" s="99" t="s">
        <v>198</v>
      </c>
      <c r="C17" s="100" t="s">
        <v>184</v>
      </c>
      <c r="D17" s="104" t="s">
        <v>186</v>
      </c>
      <c r="E17" s="105">
        <v>42076</v>
      </c>
      <c r="F17" s="142" t="s">
        <v>199</v>
      </c>
      <c r="G17" s="143">
        <v>6360</v>
      </c>
      <c r="H17" s="94"/>
      <c r="I17" s="94"/>
      <c r="J17" s="98"/>
      <c r="K17" s="118"/>
    </row>
    <row r="18" spans="1:11" ht="15.75" hidden="1" customHeight="1" x14ac:dyDescent="0.25">
      <c r="A18" s="93"/>
      <c r="B18" s="134" t="s">
        <v>200</v>
      </c>
      <c r="C18" s="100"/>
      <c r="D18" s="104"/>
      <c r="E18" s="140">
        <v>40941</v>
      </c>
      <c r="F18" s="129" t="s">
        <v>201</v>
      </c>
      <c r="G18" s="141">
        <v>2075</v>
      </c>
      <c r="H18" s="94"/>
      <c r="I18" s="94"/>
      <c r="J18" s="98"/>
      <c r="K18" s="118"/>
    </row>
    <row r="19" spans="1:11" ht="15.75" hidden="1" customHeight="1" x14ac:dyDescent="0.25">
      <c r="A19" s="93" t="s">
        <v>187</v>
      </c>
      <c r="B19" s="99"/>
      <c r="C19" s="100"/>
      <c r="D19" s="100"/>
      <c r="E19" s="105"/>
      <c r="F19" s="142"/>
      <c r="G19" s="143"/>
      <c r="H19" s="94"/>
      <c r="I19" s="94"/>
      <c r="J19" s="98"/>
      <c r="K19" s="118"/>
    </row>
    <row r="20" spans="1:11" s="144" customFormat="1" ht="15.75" hidden="1" customHeight="1" x14ac:dyDescent="0.25">
      <c r="A20" s="106"/>
      <c r="B20" s="99" t="s">
        <v>202</v>
      </c>
      <c r="C20" s="100" t="s">
        <v>184</v>
      </c>
      <c r="D20" s="104" t="s">
        <v>186</v>
      </c>
      <c r="E20" s="105">
        <v>35915</v>
      </c>
      <c r="F20" s="145" t="s">
        <v>203</v>
      </c>
      <c r="G20" s="143">
        <v>14980</v>
      </c>
      <c r="H20" s="94"/>
      <c r="I20" s="94"/>
      <c r="J20" s="107"/>
      <c r="K20" s="192"/>
    </row>
    <row r="21" spans="1:11" s="144" customFormat="1" ht="15.75" hidden="1" customHeight="1" x14ac:dyDescent="0.25">
      <c r="A21" s="106"/>
      <c r="B21" s="145" t="s">
        <v>204</v>
      </c>
      <c r="C21" s="100" t="s">
        <v>184</v>
      </c>
      <c r="D21" s="104" t="s">
        <v>186</v>
      </c>
      <c r="E21" s="105">
        <v>40735</v>
      </c>
      <c r="F21" s="145" t="s">
        <v>205</v>
      </c>
      <c r="G21" s="143">
        <v>8850</v>
      </c>
      <c r="H21" s="94"/>
      <c r="I21" s="94"/>
      <c r="J21" s="107"/>
      <c r="K21" s="192"/>
    </row>
    <row r="22" spans="1:11" s="144" customFormat="1" ht="15.75" hidden="1" customHeight="1" x14ac:dyDescent="0.25">
      <c r="A22" s="106"/>
      <c r="B22" s="145" t="s">
        <v>206</v>
      </c>
      <c r="C22" s="100" t="s">
        <v>184</v>
      </c>
      <c r="D22" s="104" t="s">
        <v>186</v>
      </c>
      <c r="E22" s="105">
        <v>42818</v>
      </c>
      <c r="F22" s="145" t="s">
        <v>207</v>
      </c>
      <c r="G22" s="143"/>
      <c r="H22" s="94"/>
      <c r="I22" s="94"/>
      <c r="J22" s="107"/>
      <c r="K22" s="192"/>
    </row>
    <row r="23" spans="1:11" s="144" customFormat="1" ht="15.75" hidden="1" customHeight="1" x14ac:dyDescent="0.25">
      <c r="A23" s="106"/>
      <c r="B23" s="99" t="s">
        <v>208</v>
      </c>
      <c r="C23" s="100" t="s">
        <v>184</v>
      </c>
      <c r="D23" s="104" t="s">
        <v>186</v>
      </c>
      <c r="E23" s="105">
        <v>42387</v>
      </c>
      <c r="F23" s="142" t="s">
        <v>209</v>
      </c>
      <c r="G23" s="146">
        <v>5510</v>
      </c>
      <c r="H23" s="94"/>
      <c r="I23" s="94"/>
      <c r="J23" s="107"/>
      <c r="K23" s="192"/>
    </row>
    <row r="24" spans="1:11" s="144" customFormat="1" ht="15.75" hidden="1" customHeight="1" x14ac:dyDescent="0.25">
      <c r="A24" s="106"/>
      <c r="B24" s="99" t="s">
        <v>210</v>
      </c>
      <c r="C24" s="100" t="s">
        <v>184</v>
      </c>
      <c r="D24" s="104" t="s">
        <v>186</v>
      </c>
      <c r="E24" s="105">
        <v>42387</v>
      </c>
      <c r="F24" s="145" t="s">
        <v>211</v>
      </c>
      <c r="G24" s="143">
        <v>8475</v>
      </c>
      <c r="H24" s="94"/>
      <c r="I24" s="94"/>
      <c r="J24" s="107"/>
      <c r="K24" s="192"/>
    </row>
    <row r="25" spans="1:11" s="144" customFormat="1" ht="15.75" hidden="1" customHeight="1" x14ac:dyDescent="0.25">
      <c r="A25" s="106"/>
      <c r="B25" s="99" t="s">
        <v>212</v>
      </c>
      <c r="C25" s="100" t="s">
        <v>184</v>
      </c>
      <c r="D25" s="104" t="s">
        <v>186</v>
      </c>
      <c r="E25" s="105">
        <v>41947</v>
      </c>
      <c r="F25" s="142" t="s">
        <v>213</v>
      </c>
      <c r="G25" s="146">
        <v>6143</v>
      </c>
      <c r="H25" s="94"/>
      <c r="I25" s="94"/>
      <c r="J25" s="107"/>
      <c r="K25" s="192"/>
    </row>
    <row r="26" spans="1:11" s="144" customFormat="1" ht="15.75" hidden="1" customHeight="1" x14ac:dyDescent="0.25">
      <c r="A26" s="106"/>
      <c r="B26" s="99" t="s">
        <v>214</v>
      </c>
      <c r="C26" s="100" t="s">
        <v>184</v>
      </c>
      <c r="D26" s="104" t="s">
        <v>186</v>
      </c>
      <c r="E26" s="147">
        <v>41822</v>
      </c>
      <c r="F26" s="99" t="s">
        <v>215</v>
      </c>
      <c r="G26" s="148">
        <v>4976.7</v>
      </c>
      <c r="H26" s="94"/>
      <c r="I26" s="94"/>
      <c r="J26" s="107"/>
      <c r="K26" s="192"/>
    </row>
    <row r="27" spans="1:11" s="144" customFormat="1" ht="15.75" hidden="1" customHeight="1" x14ac:dyDescent="0.25">
      <c r="A27" s="106"/>
      <c r="B27" s="99" t="s">
        <v>208</v>
      </c>
      <c r="C27" s="100" t="s">
        <v>184</v>
      </c>
      <c r="D27" s="104" t="s">
        <v>186</v>
      </c>
      <c r="E27" s="105">
        <v>41850</v>
      </c>
      <c r="F27" s="142" t="s">
        <v>216</v>
      </c>
      <c r="G27" s="146">
        <v>4976.7</v>
      </c>
      <c r="H27" s="94"/>
      <c r="I27" s="94"/>
      <c r="J27" s="107"/>
      <c r="K27" s="192"/>
    </row>
    <row r="28" spans="1:11" s="144" customFormat="1" ht="15.75" hidden="1" customHeight="1" x14ac:dyDescent="0.25">
      <c r="A28" s="106"/>
      <c r="B28" s="99" t="s">
        <v>217</v>
      </c>
      <c r="C28" s="100" t="s">
        <v>184</v>
      </c>
      <c r="D28" s="104" t="s">
        <v>186</v>
      </c>
      <c r="E28" s="105">
        <v>41901</v>
      </c>
      <c r="F28" s="145" t="s">
        <v>218</v>
      </c>
      <c r="G28" s="143">
        <v>7685</v>
      </c>
      <c r="H28" s="94"/>
      <c r="I28" s="94"/>
      <c r="J28" s="107"/>
      <c r="K28" s="192"/>
    </row>
    <row r="29" spans="1:11" s="144" customFormat="1" ht="15.75" hidden="1" customHeight="1" x14ac:dyDescent="0.25">
      <c r="A29" s="106"/>
      <c r="B29" s="145" t="s">
        <v>219</v>
      </c>
      <c r="C29" s="100" t="s">
        <v>184</v>
      </c>
      <c r="D29" s="104" t="s">
        <v>186</v>
      </c>
      <c r="E29" s="105">
        <v>42025</v>
      </c>
      <c r="F29" s="145" t="s">
        <v>220</v>
      </c>
      <c r="G29" s="143">
        <v>5820</v>
      </c>
      <c r="H29" s="94"/>
      <c r="I29" s="94"/>
      <c r="J29" s="107"/>
      <c r="K29" s="192"/>
    </row>
    <row r="30" spans="1:11" s="144" customFormat="1" ht="15.75" hidden="1" customHeight="1" x14ac:dyDescent="0.25">
      <c r="A30" s="106"/>
      <c r="B30" s="99" t="s">
        <v>208</v>
      </c>
      <c r="C30" s="100" t="s">
        <v>184</v>
      </c>
      <c r="D30" s="104" t="s">
        <v>186</v>
      </c>
      <c r="E30" s="105">
        <v>42221</v>
      </c>
      <c r="F30" s="142" t="s">
        <v>221</v>
      </c>
      <c r="G30" s="146">
        <v>4976.7</v>
      </c>
      <c r="H30" s="94"/>
      <c r="I30" s="94"/>
      <c r="J30" s="107"/>
      <c r="K30" s="192"/>
    </row>
    <row r="31" spans="1:11" s="144" customFormat="1" ht="15.75" hidden="1" customHeight="1" x14ac:dyDescent="0.25">
      <c r="A31" s="106"/>
      <c r="B31" s="142" t="s">
        <v>208</v>
      </c>
      <c r="C31" s="100" t="s">
        <v>184</v>
      </c>
      <c r="D31" s="104" t="s">
        <v>186</v>
      </c>
      <c r="E31" s="105">
        <v>42299</v>
      </c>
      <c r="F31" s="145" t="s">
        <v>222</v>
      </c>
      <c r="G31" s="143">
        <v>4976.7</v>
      </c>
      <c r="H31" s="94"/>
      <c r="I31" s="94"/>
      <c r="J31" s="107"/>
      <c r="K31" s="192"/>
    </row>
    <row r="32" spans="1:11" s="144" customFormat="1" ht="15.75" hidden="1" customHeight="1" x14ac:dyDescent="0.25">
      <c r="A32" s="106"/>
      <c r="B32" s="142" t="s">
        <v>208</v>
      </c>
      <c r="C32" s="100" t="s">
        <v>184</v>
      </c>
      <c r="D32" s="104" t="s">
        <v>186</v>
      </c>
      <c r="E32" s="105">
        <v>42583</v>
      </c>
      <c r="F32" s="145" t="s">
        <v>223</v>
      </c>
      <c r="G32" s="143">
        <v>5510</v>
      </c>
      <c r="H32" s="94"/>
      <c r="I32" s="94"/>
      <c r="J32" s="107"/>
      <c r="K32" s="192"/>
    </row>
    <row r="33" spans="1:11" s="144" customFormat="1" ht="15.75" hidden="1" customHeight="1" x14ac:dyDescent="0.25">
      <c r="A33" s="106"/>
      <c r="B33" s="145" t="s">
        <v>224</v>
      </c>
      <c r="C33" s="100" t="s">
        <v>184</v>
      </c>
      <c r="D33" s="104" t="s">
        <v>186</v>
      </c>
      <c r="E33" s="105" t="s">
        <v>225</v>
      </c>
      <c r="F33" s="145" t="s">
        <v>226</v>
      </c>
      <c r="G33" s="143">
        <v>8475</v>
      </c>
      <c r="H33" s="94"/>
      <c r="I33" s="94"/>
      <c r="J33" s="107"/>
      <c r="K33" s="192"/>
    </row>
    <row r="34" spans="1:11" s="144" customFormat="1" ht="15.75" hidden="1" customHeight="1" x14ac:dyDescent="0.25">
      <c r="A34" s="106"/>
      <c r="B34" s="94" t="s">
        <v>227</v>
      </c>
      <c r="C34" s="100" t="s">
        <v>184</v>
      </c>
      <c r="D34" s="104" t="s">
        <v>186</v>
      </c>
      <c r="E34" s="105">
        <v>42695</v>
      </c>
      <c r="F34" s="145" t="s">
        <v>228</v>
      </c>
      <c r="G34" s="143">
        <v>8475</v>
      </c>
      <c r="H34" s="94"/>
      <c r="I34" s="94"/>
      <c r="J34" s="107"/>
      <c r="K34" s="192"/>
    </row>
    <row r="35" spans="1:11" s="144" customFormat="1" ht="15.75" hidden="1" customHeight="1" x14ac:dyDescent="0.25">
      <c r="A35" s="106"/>
      <c r="B35" s="94" t="s">
        <v>208</v>
      </c>
      <c r="C35" s="100" t="s">
        <v>184</v>
      </c>
      <c r="D35" s="104" t="s">
        <v>186</v>
      </c>
      <c r="E35" s="105">
        <v>42818</v>
      </c>
      <c r="F35" s="145" t="s">
        <v>229</v>
      </c>
      <c r="G35" s="143">
        <v>4870.7</v>
      </c>
      <c r="H35" s="94"/>
      <c r="I35" s="94"/>
      <c r="J35" s="107"/>
      <c r="K35" s="192"/>
    </row>
    <row r="36" spans="1:11" s="144" customFormat="1" ht="15.75" hidden="1" customHeight="1" x14ac:dyDescent="0.25">
      <c r="A36" s="106"/>
      <c r="B36" s="145" t="s">
        <v>230</v>
      </c>
      <c r="C36" s="100" t="s">
        <v>184</v>
      </c>
      <c r="D36" s="104" t="s">
        <v>186</v>
      </c>
      <c r="E36" s="105">
        <v>42818</v>
      </c>
      <c r="F36" s="145" t="s">
        <v>231</v>
      </c>
      <c r="G36" s="143">
        <v>7580</v>
      </c>
      <c r="H36" s="94"/>
      <c r="I36" s="94"/>
      <c r="J36" s="107"/>
      <c r="K36" s="192"/>
    </row>
    <row r="37" spans="1:11" s="144" customFormat="1" ht="15.75" hidden="1" customHeight="1" x14ac:dyDescent="0.25">
      <c r="A37" s="106"/>
      <c r="B37" s="94" t="s">
        <v>227</v>
      </c>
      <c r="C37" s="100" t="s">
        <v>184</v>
      </c>
      <c r="D37" s="104" t="s">
        <v>186</v>
      </c>
      <c r="E37" s="105">
        <v>42849</v>
      </c>
      <c r="F37" s="145" t="s">
        <v>232</v>
      </c>
      <c r="G37" s="146">
        <v>7579</v>
      </c>
      <c r="H37" s="94"/>
      <c r="I37" s="94"/>
      <c r="J37" s="107"/>
      <c r="K37" s="192"/>
    </row>
    <row r="38" spans="1:11" s="144" customFormat="1" ht="15.75" hidden="1" customHeight="1" x14ac:dyDescent="0.25">
      <c r="A38" s="106"/>
      <c r="B38" s="145" t="s">
        <v>233</v>
      </c>
      <c r="C38" s="100" t="s">
        <v>184</v>
      </c>
      <c r="D38" s="104" t="s">
        <v>186</v>
      </c>
      <c r="E38" s="105">
        <v>43083</v>
      </c>
      <c r="F38" s="145" t="s">
        <v>234</v>
      </c>
      <c r="G38" s="143">
        <v>13995</v>
      </c>
      <c r="H38" s="94"/>
      <c r="I38" s="94"/>
      <c r="J38" s="107"/>
      <c r="K38" s="192"/>
    </row>
    <row r="39" spans="1:11" s="144" customFormat="1" ht="15.75" hidden="1" customHeight="1" x14ac:dyDescent="0.25">
      <c r="A39" s="106"/>
      <c r="B39" s="94" t="s">
        <v>233</v>
      </c>
      <c r="C39" s="100" t="s">
        <v>184</v>
      </c>
      <c r="D39" s="104" t="s">
        <v>186</v>
      </c>
      <c r="E39" s="149">
        <v>43083</v>
      </c>
      <c r="F39" s="145" t="s">
        <v>235</v>
      </c>
      <c r="G39" s="143">
        <v>13995</v>
      </c>
      <c r="H39" s="94"/>
      <c r="I39" s="94"/>
      <c r="J39" s="107"/>
      <c r="K39" s="192"/>
    </row>
    <row r="40" spans="1:11" s="144" customFormat="1" ht="15.75" hidden="1" customHeight="1" x14ac:dyDescent="0.25">
      <c r="A40" s="106"/>
      <c r="B40" s="94" t="s">
        <v>208</v>
      </c>
      <c r="C40" s="100" t="s">
        <v>184</v>
      </c>
      <c r="D40" s="104" t="s">
        <v>186</v>
      </c>
      <c r="E40" s="105">
        <v>43320</v>
      </c>
      <c r="F40" s="145" t="s">
        <v>236</v>
      </c>
      <c r="G40" s="143">
        <v>5280</v>
      </c>
      <c r="H40" s="94"/>
      <c r="I40" s="94"/>
      <c r="J40" s="107"/>
      <c r="K40" s="192"/>
    </row>
    <row r="41" spans="1:11" s="144" customFormat="1" ht="15.75" hidden="1" customHeight="1" x14ac:dyDescent="0.25">
      <c r="A41" s="106"/>
      <c r="B41" s="142" t="s">
        <v>208</v>
      </c>
      <c r="C41" s="100" t="s">
        <v>184</v>
      </c>
      <c r="D41" s="104" t="s">
        <v>186</v>
      </c>
      <c r="E41" s="105">
        <v>43399</v>
      </c>
      <c r="F41" s="142" t="s">
        <v>237</v>
      </c>
      <c r="G41" s="146">
        <v>5695</v>
      </c>
      <c r="H41" s="94"/>
      <c r="I41" s="94"/>
      <c r="J41" s="107"/>
      <c r="K41" s="192"/>
    </row>
    <row r="42" spans="1:11" s="144" customFormat="1" ht="15.75" hidden="1" customHeight="1" x14ac:dyDescent="0.25">
      <c r="A42" s="106"/>
      <c r="B42" s="150" t="s">
        <v>238</v>
      </c>
      <c r="C42" s="100" t="s">
        <v>184</v>
      </c>
      <c r="D42" s="104" t="s">
        <v>186</v>
      </c>
      <c r="E42" s="151">
        <v>43742</v>
      </c>
      <c r="F42" s="152" t="s">
        <v>239</v>
      </c>
      <c r="G42" s="153">
        <v>11450</v>
      </c>
      <c r="H42" s="94"/>
      <c r="I42" s="94"/>
      <c r="J42" s="107"/>
      <c r="K42" s="192"/>
    </row>
    <row r="43" spans="1:11" s="144" customFormat="1" ht="15.75" hidden="1" customHeight="1" x14ac:dyDescent="0.25">
      <c r="A43" s="106"/>
      <c r="B43" s="142" t="s">
        <v>240</v>
      </c>
      <c r="C43" s="100" t="s">
        <v>184</v>
      </c>
      <c r="D43" s="104" t="s">
        <v>186</v>
      </c>
      <c r="E43" s="105">
        <v>43846</v>
      </c>
      <c r="F43" s="142" t="s">
        <v>241</v>
      </c>
      <c r="G43" s="146">
        <v>4995</v>
      </c>
      <c r="H43" s="94"/>
      <c r="I43" s="94"/>
      <c r="J43" s="107"/>
      <c r="K43" s="192"/>
    </row>
    <row r="44" spans="1:11" s="144" customFormat="1" ht="15.75" hidden="1" customHeight="1" x14ac:dyDescent="0.25">
      <c r="A44" s="106"/>
      <c r="B44" s="99" t="s">
        <v>242</v>
      </c>
      <c r="C44" s="100" t="s">
        <v>184</v>
      </c>
      <c r="D44" s="104" t="s">
        <v>186</v>
      </c>
      <c r="E44" s="105">
        <v>43846</v>
      </c>
      <c r="F44" s="142" t="s">
        <v>243</v>
      </c>
      <c r="G44" s="143">
        <v>7595</v>
      </c>
      <c r="H44" s="94"/>
      <c r="I44" s="94"/>
      <c r="J44" s="107"/>
      <c r="K44" s="192"/>
    </row>
    <row r="45" spans="1:11" s="144" customFormat="1" ht="15.75" hidden="1" customHeight="1" x14ac:dyDescent="0.25">
      <c r="A45" s="106"/>
      <c r="B45" s="142" t="s">
        <v>244</v>
      </c>
      <c r="C45" s="100" t="s">
        <v>184</v>
      </c>
      <c r="D45" s="104" t="s">
        <v>186</v>
      </c>
      <c r="E45" s="105">
        <v>39091</v>
      </c>
      <c r="F45" s="145" t="s">
        <v>245</v>
      </c>
      <c r="G45" s="143">
        <v>7222.5</v>
      </c>
      <c r="H45" s="94"/>
      <c r="I45" s="94"/>
      <c r="J45" s="107"/>
      <c r="K45" s="192"/>
    </row>
    <row r="46" spans="1:11" s="144" customFormat="1" ht="15.75" hidden="1" customHeight="1" x14ac:dyDescent="0.25">
      <c r="A46" s="106"/>
      <c r="B46" s="94" t="s">
        <v>246</v>
      </c>
      <c r="C46" s="100" t="s">
        <v>184</v>
      </c>
      <c r="D46" s="104" t="s">
        <v>186</v>
      </c>
      <c r="E46" s="105">
        <v>39091</v>
      </c>
      <c r="F46" s="145" t="s">
        <v>247</v>
      </c>
      <c r="G46" s="143">
        <v>3895</v>
      </c>
      <c r="H46" s="94"/>
      <c r="I46" s="94"/>
      <c r="J46" s="107"/>
      <c r="K46" s="192"/>
    </row>
    <row r="47" spans="1:11" s="144" customFormat="1" ht="15.75" hidden="1" customHeight="1" x14ac:dyDescent="0.25">
      <c r="A47" s="106"/>
      <c r="B47" s="94" t="s">
        <v>246</v>
      </c>
      <c r="C47" s="100" t="s">
        <v>184</v>
      </c>
      <c r="D47" s="104" t="s">
        <v>186</v>
      </c>
      <c r="E47" s="105">
        <v>38510</v>
      </c>
      <c r="F47" s="145" t="s">
        <v>248</v>
      </c>
      <c r="G47" s="143">
        <v>3950</v>
      </c>
      <c r="H47" s="94"/>
      <c r="I47" s="94"/>
      <c r="J47" s="107"/>
      <c r="K47" s="192"/>
    </row>
    <row r="48" spans="1:11" s="144" customFormat="1" ht="15.75" hidden="1" customHeight="1" x14ac:dyDescent="0.25">
      <c r="A48" s="106"/>
      <c r="B48" s="99" t="s">
        <v>249</v>
      </c>
      <c r="C48" s="100" t="s">
        <v>184</v>
      </c>
      <c r="D48" s="104" t="s">
        <v>186</v>
      </c>
      <c r="E48" s="105">
        <v>39966</v>
      </c>
      <c r="F48" s="145" t="s">
        <v>250</v>
      </c>
      <c r="G48" s="143">
        <v>3900</v>
      </c>
      <c r="H48" s="94"/>
      <c r="I48" s="94"/>
      <c r="J48" s="107"/>
      <c r="K48" s="192"/>
    </row>
    <row r="49" spans="1:11" s="144" customFormat="1" ht="15.75" hidden="1" customHeight="1" x14ac:dyDescent="0.25">
      <c r="A49" s="106"/>
      <c r="B49" s="99" t="s">
        <v>251</v>
      </c>
      <c r="C49" s="100" t="s">
        <v>184</v>
      </c>
      <c r="D49" s="104" t="s">
        <v>186</v>
      </c>
      <c r="E49" s="105">
        <v>42818</v>
      </c>
      <c r="F49" s="145" t="s">
        <v>252</v>
      </c>
      <c r="G49" s="143">
        <v>4198</v>
      </c>
      <c r="H49" s="94"/>
      <c r="I49" s="94"/>
      <c r="J49" s="107"/>
      <c r="K49" s="192"/>
    </row>
    <row r="50" spans="1:11" ht="15.75" hidden="1" customHeight="1" x14ac:dyDescent="0.25">
      <c r="A50" s="93"/>
      <c r="B50" s="99" t="s">
        <v>253</v>
      </c>
      <c r="C50" s="100" t="s">
        <v>184</v>
      </c>
      <c r="D50" s="104" t="s">
        <v>186</v>
      </c>
      <c r="E50" s="105">
        <v>37673</v>
      </c>
      <c r="F50" s="142" t="s">
        <v>254</v>
      </c>
      <c r="G50" s="143">
        <v>660</v>
      </c>
      <c r="H50" s="94"/>
      <c r="I50" s="94"/>
      <c r="J50" s="98"/>
      <c r="K50" s="118"/>
    </row>
    <row r="51" spans="1:11" ht="15.75" hidden="1" customHeight="1" x14ac:dyDescent="0.25">
      <c r="A51" s="93"/>
      <c r="B51" s="94" t="s">
        <v>255</v>
      </c>
      <c r="C51" s="100" t="s">
        <v>184</v>
      </c>
      <c r="D51" s="104" t="s">
        <v>186</v>
      </c>
      <c r="E51" s="105">
        <v>38442</v>
      </c>
      <c r="F51" s="145" t="s">
        <v>256</v>
      </c>
      <c r="G51" s="143">
        <v>2620</v>
      </c>
      <c r="H51" s="94"/>
      <c r="I51" s="94"/>
      <c r="J51" s="98"/>
      <c r="K51" s="118"/>
    </row>
    <row r="52" spans="1:11" ht="15.75" hidden="1" customHeight="1" x14ac:dyDescent="0.25">
      <c r="A52" s="93"/>
      <c r="B52" s="99" t="s">
        <v>257</v>
      </c>
      <c r="C52" s="100" t="s">
        <v>184</v>
      </c>
      <c r="D52" s="104" t="s">
        <v>186</v>
      </c>
      <c r="E52" s="105">
        <v>42614</v>
      </c>
      <c r="F52" s="145" t="s">
        <v>258</v>
      </c>
      <c r="G52" s="143">
        <v>3350</v>
      </c>
      <c r="H52" s="94"/>
      <c r="I52" s="94"/>
      <c r="J52" s="98"/>
      <c r="K52" s="118"/>
    </row>
    <row r="53" spans="1:11" ht="15.75" hidden="1" customHeight="1" x14ac:dyDescent="0.25">
      <c r="A53" s="93"/>
      <c r="B53" s="145" t="s">
        <v>257</v>
      </c>
      <c r="C53" s="100" t="s">
        <v>184</v>
      </c>
      <c r="D53" s="104" t="s">
        <v>186</v>
      </c>
      <c r="E53" s="105">
        <v>42818</v>
      </c>
      <c r="F53" s="145" t="s">
        <v>259</v>
      </c>
      <c r="G53" s="143">
        <v>3174.7</v>
      </c>
      <c r="H53" s="94"/>
      <c r="I53" s="94"/>
      <c r="J53" s="98"/>
      <c r="K53" s="118"/>
    </row>
    <row r="54" spans="1:11" ht="15.75" hidden="1" customHeight="1" x14ac:dyDescent="0.25">
      <c r="A54" s="93"/>
      <c r="B54" s="94" t="s">
        <v>257</v>
      </c>
      <c r="C54" s="100" t="s">
        <v>184</v>
      </c>
      <c r="D54" s="104" t="s">
        <v>186</v>
      </c>
      <c r="E54" s="105">
        <v>42818</v>
      </c>
      <c r="F54" s="145" t="s">
        <v>260</v>
      </c>
      <c r="G54" s="143">
        <v>3200</v>
      </c>
      <c r="H54" s="94"/>
      <c r="I54" s="94"/>
      <c r="J54" s="98"/>
      <c r="K54" s="118"/>
    </row>
    <row r="55" spans="1:11" ht="15.75" hidden="1" customHeight="1" x14ac:dyDescent="0.25">
      <c r="A55" s="93"/>
      <c r="B55" s="99" t="s">
        <v>206</v>
      </c>
      <c r="C55" s="100" t="s">
        <v>184</v>
      </c>
      <c r="D55" s="104" t="s">
        <v>186</v>
      </c>
      <c r="E55" s="105">
        <v>42214</v>
      </c>
      <c r="F55" s="145" t="s">
        <v>261</v>
      </c>
      <c r="G55" s="143">
        <v>3530</v>
      </c>
      <c r="H55" s="94"/>
      <c r="I55" s="94"/>
      <c r="J55" s="98"/>
      <c r="K55" s="118"/>
    </row>
    <row r="56" spans="1:11" ht="15.75" hidden="1" customHeight="1" x14ac:dyDescent="0.25">
      <c r="A56" s="93"/>
      <c r="B56" s="99" t="s">
        <v>262</v>
      </c>
      <c r="C56" s="100" t="s">
        <v>184</v>
      </c>
      <c r="D56" s="104" t="s">
        <v>186</v>
      </c>
      <c r="E56" s="149">
        <v>42598</v>
      </c>
      <c r="F56" s="145" t="s">
        <v>263</v>
      </c>
      <c r="G56" s="143">
        <v>3200</v>
      </c>
      <c r="H56" s="94"/>
      <c r="I56" s="94"/>
      <c r="J56" s="98"/>
      <c r="K56" s="118"/>
    </row>
    <row r="57" spans="1:11" ht="15.75" hidden="1" customHeight="1" x14ac:dyDescent="0.25">
      <c r="A57" s="93"/>
      <c r="B57" s="145" t="s">
        <v>264</v>
      </c>
      <c r="C57" s="100" t="s">
        <v>184</v>
      </c>
      <c r="D57" s="104" t="s">
        <v>186</v>
      </c>
      <c r="E57" s="105">
        <v>43054</v>
      </c>
      <c r="F57" s="145" t="s">
        <v>265</v>
      </c>
      <c r="G57" s="143">
        <v>1805</v>
      </c>
      <c r="H57" s="94"/>
      <c r="I57" s="94"/>
      <c r="J57" s="98"/>
      <c r="K57" s="118"/>
    </row>
    <row r="58" spans="1:11" ht="15.75" hidden="1" customHeight="1" x14ac:dyDescent="0.25">
      <c r="A58" s="93"/>
      <c r="B58" s="142" t="s">
        <v>266</v>
      </c>
      <c r="C58" s="100" t="s">
        <v>184</v>
      </c>
      <c r="D58" s="104" t="s">
        <v>186</v>
      </c>
      <c r="E58" s="105">
        <v>43054</v>
      </c>
      <c r="F58" s="142" t="s">
        <v>267</v>
      </c>
      <c r="G58" s="146">
        <v>1805</v>
      </c>
      <c r="H58" s="94"/>
      <c r="I58" s="94"/>
      <c r="J58" s="98"/>
      <c r="K58" s="118"/>
    </row>
    <row r="59" spans="1:11" ht="15.75" hidden="1" customHeight="1" x14ac:dyDescent="0.25">
      <c r="A59" s="93"/>
      <c r="B59" s="145" t="s">
        <v>268</v>
      </c>
      <c r="C59" s="100" t="s">
        <v>184</v>
      </c>
      <c r="D59" s="104" t="s">
        <v>186</v>
      </c>
      <c r="E59" s="105">
        <v>43262</v>
      </c>
      <c r="F59" s="145" t="s">
        <v>269</v>
      </c>
      <c r="G59" s="143">
        <v>1805</v>
      </c>
      <c r="H59" s="94"/>
      <c r="I59" s="94"/>
      <c r="J59" s="98"/>
      <c r="K59" s="118"/>
    </row>
    <row r="60" spans="1:11" ht="15.75" hidden="1" customHeight="1" x14ac:dyDescent="0.25">
      <c r="A60" s="93"/>
      <c r="B60" s="142" t="s">
        <v>270</v>
      </c>
      <c r="C60" s="100" t="s">
        <v>184</v>
      </c>
      <c r="D60" s="104" t="s">
        <v>186</v>
      </c>
      <c r="E60" s="105">
        <v>43305</v>
      </c>
      <c r="F60" s="145" t="s">
        <v>271</v>
      </c>
      <c r="G60" s="146">
        <v>1950</v>
      </c>
      <c r="H60" s="94"/>
      <c r="I60" s="94"/>
      <c r="J60" s="98"/>
      <c r="K60" s="118"/>
    </row>
    <row r="61" spans="1:11" ht="15.75" hidden="1" customHeight="1" x14ac:dyDescent="0.25">
      <c r="A61" s="141"/>
      <c r="B61" s="145" t="s">
        <v>272</v>
      </c>
      <c r="C61" s="100" t="s">
        <v>184</v>
      </c>
      <c r="D61" s="104" t="s">
        <v>186</v>
      </c>
      <c r="E61" s="105">
        <v>43305</v>
      </c>
      <c r="F61" s="142" t="s">
        <v>273</v>
      </c>
      <c r="G61" s="143">
        <v>1950</v>
      </c>
      <c r="H61" s="94"/>
      <c r="I61" s="94"/>
      <c r="J61" s="98"/>
      <c r="K61" s="118"/>
    </row>
    <row r="62" spans="1:11" ht="15.75" hidden="1" customHeight="1" x14ac:dyDescent="0.25">
      <c r="A62" s="141"/>
      <c r="B62" s="142" t="s">
        <v>272</v>
      </c>
      <c r="C62" s="100" t="s">
        <v>184</v>
      </c>
      <c r="D62" s="104" t="s">
        <v>186</v>
      </c>
      <c r="E62" s="105">
        <v>43399</v>
      </c>
      <c r="F62" s="142" t="s">
        <v>274</v>
      </c>
      <c r="G62" s="146">
        <v>1950</v>
      </c>
      <c r="H62" s="94"/>
      <c r="I62" s="94"/>
      <c r="J62" s="98"/>
      <c r="K62" s="118"/>
    </row>
    <row r="63" spans="1:11" ht="15.75" hidden="1" customHeight="1" x14ac:dyDescent="0.25">
      <c r="A63" s="141"/>
      <c r="B63" s="142" t="s">
        <v>275</v>
      </c>
      <c r="C63" s="100" t="s">
        <v>184</v>
      </c>
      <c r="D63" s="104" t="s">
        <v>186</v>
      </c>
      <c r="E63" s="105">
        <v>43742</v>
      </c>
      <c r="F63" s="145" t="s">
        <v>276</v>
      </c>
      <c r="G63" s="143">
        <v>3490</v>
      </c>
      <c r="H63" s="94"/>
      <c r="I63" s="94"/>
      <c r="J63" s="98"/>
      <c r="K63" s="118"/>
    </row>
    <row r="64" spans="1:11" ht="15.75" hidden="1" customHeight="1" x14ac:dyDescent="0.25">
      <c r="A64" s="141"/>
      <c r="B64" s="145" t="s">
        <v>277</v>
      </c>
      <c r="C64" s="100" t="s">
        <v>184</v>
      </c>
      <c r="D64" s="104" t="s">
        <v>186</v>
      </c>
      <c r="E64" s="105">
        <v>43742</v>
      </c>
      <c r="F64" s="145" t="s">
        <v>278</v>
      </c>
      <c r="G64" s="143">
        <v>3490</v>
      </c>
      <c r="H64" s="94"/>
      <c r="I64" s="94"/>
      <c r="J64" s="98"/>
      <c r="K64" s="118"/>
    </row>
    <row r="65" spans="1:11" ht="15.75" hidden="1" customHeight="1" x14ac:dyDescent="0.25">
      <c r="A65" s="141"/>
      <c r="B65" s="99" t="s">
        <v>279</v>
      </c>
      <c r="C65" s="100" t="s">
        <v>184</v>
      </c>
      <c r="D65" s="104" t="s">
        <v>186</v>
      </c>
      <c r="E65" s="105">
        <v>43742</v>
      </c>
      <c r="F65" s="145" t="s">
        <v>280</v>
      </c>
      <c r="G65" s="143">
        <v>3490</v>
      </c>
      <c r="H65" s="94"/>
      <c r="I65" s="94"/>
      <c r="J65" s="98"/>
      <c r="K65" s="118"/>
    </row>
    <row r="66" spans="1:11" ht="15.75" hidden="1" customHeight="1" x14ac:dyDescent="0.25">
      <c r="A66" s="141"/>
      <c r="B66" s="145" t="s">
        <v>281</v>
      </c>
      <c r="C66" s="100" t="s">
        <v>184</v>
      </c>
      <c r="D66" s="104" t="s">
        <v>186</v>
      </c>
      <c r="E66" s="105">
        <v>43895</v>
      </c>
      <c r="F66" s="145" t="s">
        <v>282</v>
      </c>
      <c r="G66" s="143">
        <v>2150</v>
      </c>
      <c r="H66" s="94"/>
      <c r="I66" s="94"/>
      <c r="J66" s="98"/>
      <c r="K66" s="118"/>
    </row>
    <row r="67" spans="1:11" ht="15.75" hidden="1" customHeight="1" x14ac:dyDescent="0.25">
      <c r="A67" s="141"/>
      <c r="B67" s="145" t="s">
        <v>281</v>
      </c>
      <c r="C67" s="100" t="s">
        <v>184</v>
      </c>
      <c r="D67" s="104" t="s">
        <v>186</v>
      </c>
      <c r="E67" s="105">
        <v>43895</v>
      </c>
      <c r="F67" s="145" t="s">
        <v>283</v>
      </c>
      <c r="G67" s="143">
        <v>2150</v>
      </c>
      <c r="H67" s="94"/>
      <c r="I67" s="94"/>
      <c r="J67" s="98"/>
      <c r="K67" s="118"/>
    </row>
    <row r="68" spans="1:11" ht="15.75" hidden="1" customHeight="1" x14ac:dyDescent="0.25">
      <c r="A68" s="141"/>
      <c r="B68" s="145" t="s">
        <v>281</v>
      </c>
      <c r="C68" s="100" t="s">
        <v>184</v>
      </c>
      <c r="D68" s="104" t="s">
        <v>186</v>
      </c>
      <c r="E68" s="105">
        <v>43973</v>
      </c>
      <c r="F68" s="145" t="s">
        <v>284</v>
      </c>
      <c r="G68" s="143">
        <v>2150</v>
      </c>
      <c r="H68" s="94"/>
      <c r="I68" s="94"/>
      <c r="J68" s="98"/>
      <c r="K68" s="118"/>
    </row>
    <row r="69" spans="1:11" ht="15.75" hidden="1" customHeight="1" x14ac:dyDescent="0.25">
      <c r="A69" s="141"/>
      <c r="B69" s="145" t="s">
        <v>281</v>
      </c>
      <c r="C69" s="100" t="s">
        <v>184</v>
      </c>
      <c r="D69" s="104" t="s">
        <v>186</v>
      </c>
      <c r="E69" s="105">
        <v>43973</v>
      </c>
      <c r="F69" s="145" t="s">
        <v>285</v>
      </c>
      <c r="G69" s="143">
        <v>2150</v>
      </c>
      <c r="H69" s="94"/>
      <c r="I69" s="94"/>
      <c r="J69" s="98"/>
      <c r="K69" s="118"/>
    </row>
    <row r="70" spans="1:11" ht="15.75" hidden="1" customHeight="1" x14ac:dyDescent="0.25">
      <c r="A70" s="141"/>
      <c r="B70" s="142" t="s">
        <v>286</v>
      </c>
      <c r="C70" s="100" t="s">
        <v>184</v>
      </c>
      <c r="D70" s="104" t="s">
        <v>186</v>
      </c>
      <c r="E70" s="105">
        <v>41985</v>
      </c>
      <c r="F70" s="145" t="s">
        <v>287</v>
      </c>
      <c r="G70" s="143">
        <v>3710</v>
      </c>
      <c r="H70" s="94"/>
      <c r="I70" s="94"/>
      <c r="J70" s="98"/>
      <c r="K70" s="118"/>
    </row>
    <row r="71" spans="1:11" ht="15.75" hidden="1" customHeight="1" x14ac:dyDescent="0.25">
      <c r="A71" s="93"/>
      <c r="B71" s="99" t="s">
        <v>288</v>
      </c>
      <c r="C71" s="100" t="s">
        <v>184</v>
      </c>
      <c r="D71" s="104" t="s">
        <v>186</v>
      </c>
      <c r="E71" s="105">
        <v>42221</v>
      </c>
      <c r="F71" s="145" t="s">
        <v>289</v>
      </c>
      <c r="G71" s="143">
        <v>4022.7</v>
      </c>
      <c r="H71" s="94"/>
      <c r="I71" s="94"/>
      <c r="J71" s="98"/>
      <c r="K71" s="118"/>
    </row>
    <row r="72" spans="1:11" ht="15.75" hidden="1" customHeight="1" x14ac:dyDescent="0.25">
      <c r="A72" s="141"/>
      <c r="B72" s="142" t="s">
        <v>290</v>
      </c>
      <c r="C72" s="100" t="s">
        <v>184</v>
      </c>
      <c r="D72" s="104" t="s">
        <v>186</v>
      </c>
      <c r="E72" s="105">
        <v>40336</v>
      </c>
      <c r="F72" s="142" t="s">
        <v>291</v>
      </c>
      <c r="G72" s="146">
        <v>7579</v>
      </c>
      <c r="H72" s="94"/>
      <c r="I72" s="94"/>
      <c r="J72" s="98"/>
      <c r="K72" s="118"/>
    </row>
    <row r="73" spans="1:11" ht="15.75" hidden="1" customHeight="1" x14ac:dyDescent="0.25">
      <c r="A73" s="93"/>
      <c r="B73" s="142" t="s">
        <v>292</v>
      </c>
      <c r="C73" s="100" t="s">
        <v>184</v>
      </c>
      <c r="D73" s="104" t="s">
        <v>186</v>
      </c>
      <c r="E73" s="105">
        <v>39990</v>
      </c>
      <c r="F73" s="145" t="s">
        <v>293</v>
      </c>
      <c r="G73" s="143">
        <v>6000</v>
      </c>
      <c r="H73" s="94"/>
      <c r="I73" s="94"/>
      <c r="J73" s="98"/>
      <c r="K73" s="118"/>
    </row>
    <row r="74" spans="1:11" ht="15.75" hidden="1" customHeight="1" x14ac:dyDescent="0.25">
      <c r="A74" s="93"/>
      <c r="B74" s="94" t="s">
        <v>294</v>
      </c>
      <c r="C74" s="100" t="s">
        <v>184</v>
      </c>
      <c r="D74" s="104" t="s">
        <v>186</v>
      </c>
      <c r="E74" s="105">
        <v>42660</v>
      </c>
      <c r="F74" s="145" t="s">
        <v>295</v>
      </c>
      <c r="G74" s="146">
        <v>3917</v>
      </c>
      <c r="H74" s="94"/>
      <c r="I74" s="94"/>
      <c r="J74" s="98"/>
      <c r="K74" s="118"/>
    </row>
    <row r="75" spans="1:11" ht="15.75" hidden="1" customHeight="1" x14ac:dyDescent="0.25">
      <c r="A75" s="93"/>
      <c r="B75" s="99" t="s">
        <v>296</v>
      </c>
      <c r="C75" s="100" t="s">
        <v>184</v>
      </c>
      <c r="D75" s="104" t="s">
        <v>186</v>
      </c>
      <c r="E75" s="105">
        <v>41113</v>
      </c>
      <c r="F75" s="145" t="s">
        <v>297</v>
      </c>
      <c r="G75" s="143">
        <v>4187</v>
      </c>
      <c r="H75" s="94"/>
      <c r="I75" s="94"/>
      <c r="J75" s="98"/>
      <c r="K75" s="118"/>
    </row>
    <row r="76" spans="1:11" ht="15.75" hidden="1" customHeight="1" x14ac:dyDescent="0.25">
      <c r="A76" s="93"/>
      <c r="B76" s="155" t="s">
        <v>298</v>
      </c>
      <c r="C76" s="100" t="s">
        <v>184</v>
      </c>
      <c r="D76" s="104" t="s">
        <v>186</v>
      </c>
      <c r="E76" s="105">
        <v>38630</v>
      </c>
      <c r="F76" s="142" t="s">
        <v>299</v>
      </c>
      <c r="G76" s="146">
        <v>3160.68</v>
      </c>
      <c r="H76" s="94"/>
      <c r="I76" s="94"/>
      <c r="J76" s="98"/>
      <c r="K76" s="118"/>
    </row>
    <row r="77" spans="1:11" ht="15.75" hidden="1" customHeight="1" x14ac:dyDescent="0.25">
      <c r="A77" s="93" t="s">
        <v>39</v>
      </c>
      <c r="B77" s="145"/>
      <c r="C77" s="100"/>
      <c r="D77" s="100"/>
      <c r="E77" s="105"/>
      <c r="F77" s="145"/>
      <c r="G77" s="143"/>
      <c r="H77" s="94"/>
      <c r="I77" s="94"/>
      <c r="J77" s="98"/>
      <c r="K77" s="118"/>
    </row>
    <row r="78" spans="1:11" s="136" customFormat="1" ht="15.75" hidden="1" customHeight="1" x14ac:dyDescent="0.25">
      <c r="A78" s="108"/>
      <c r="B78" s="99" t="s">
        <v>300</v>
      </c>
      <c r="C78" s="100"/>
      <c r="D78" s="100"/>
      <c r="E78" s="156">
        <v>39538</v>
      </c>
      <c r="F78" s="145" t="s">
        <v>301</v>
      </c>
      <c r="G78" s="141">
        <v>6261</v>
      </c>
      <c r="H78" s="94"/>
      <c r="I78" s="94"/>
      <c r="J78" s="94"/>
      <c r="K78" s="116"/>
    </row>
    <row r="79" spans="1:11" ht="15.75" hidden="1" customHeight="1" x14ac:dyDescent="0.25">
      <c r="A79" s="93"/>
      <c r="B79" s="94" t="s">
        <v>302</v>
      </c>
      <c r="C79" s="100" t="s">
        <v>184</v>
      </c>
      <c r="D79" s="104" t="s">
        <v>186</v>
      </c>
      <c r="E79" s="105">
        <v>43601</v>
      </c>
      <c r="F79" s="145" t="s">
        <v>303</v>
      </c>
      <c r="G79" s="143">
        <v>7400</v>
      </c>
      <c r="H79" s="94"/>
      <c r="I79" s="94"/>
      <c r="J79" s="98"/>
      <c r="K79" s="118"/>
    </row>
    <row r="80" spans="1:11" ht="15.75" hidden="1" customHeight="1" x14ac:dyDescent="0.25">
      <c r="A80" s="93"/>
      <c r="B80" s="142" t="s">
        <v>304</v>
      </c>
      <c r="C80" s="100" t="s">
        <v>184</v>
      </c>
      <c r="D80" s="104" t="s">
        <v>186</v>
      </c>
      <c r="E80" s="105">
        <v>39979</v>
      </c>
      <c r="F80" s="145" t="s">
        <v>305</v>
      </c>
      <c r="G80" s="143">
        <v>8850</v>
      </c>
      <c r="H80" s="94"/>
      <c r="I80" s="94"/>
      <c r="J80" s="98"/>
      <c r="K80" s="118"/>
    </row>
    <row r="81" spans="1:11" ht="15.75" hidden="1" customHeight="1" x14ac:dyDescent="0.25">
      <c r="A81" s="93"/>
      <c r="B81" s="94" t="s">
        <v>304</v>
      </c>
      <c r="C81" s="100" t="s">
        <v>184</v>
      </c>
      <c r="D81" s="104" t="s">
        <v>186</v>
      </c>
      <c r="E81" s="105">
        <v>39979</v>
      </c>
      <c r="F81" s="145" t="s">
        <v>306</v>
      </c>
      <c r="G81" s="143">
        <v>8850</v>
      </c>
      <c r="H81" s="94"/>
      <c r="I81" s="94"/>
      <c r="J81" s="98"/>
      <c r="K81" s="118"/>
    </row>
    <row r="82" spans="1:11" ht="15.75" hidden="1" customHeight="1" x14ac:dyDescent="0.25">
      <c r="A82" s="93"/>
      <c r="B82" s="142" t="s">
        <v>304</v>
      </c>
      <c r="C82" s="100" t="s">
        <v>184</v>
      </c>
      <c r="D82" s="104" t="s">
        <v>186</v>
      </c>
      <c r="E82" s="105">
        <v>39988</v>
      </c>
      <c r="F82" s="142" t="s">
        <v>307</v>
      </c>
      <c r="G82" s="146">
        <v>8850</v>
      </c>
      <c r="H82" s="94"/>
      <c r="I82" s="94"/>
      <c r="J82" s="98"/>
      <c r="K82" s="118"/>
    </row>
    <row r="83" spans="1:11" ht="15.75" hidden="1" customHeight="1" x14ac:dyDescent="0.25">
      <c r="A83" s="93"/>
      <c r="B83" s="145" t="s">
        <v>304</v>
      </c>
      <c r="C83" s="100" t="s">
        <v>184</v>
      </c>
      <c r="D83" s="104" t="s">
        <v>186</v>
      </c>
      <c r="E83" s="105">
        <v>39994</v>
      </c>
      <c r="F83" s="145" t="s">
        <v>308</v>
      </c>
      <c r="G83" s="143">
        <v>8850</v>
      </c>
      <c r="H83" s="94"/>
      <c r="I83" s="94"/>
      <c r="J83" s="98"/>
      <c r="K83" s="118"/>
    </row>
    <row r="84" spans="1:11" ht="15.75" hidden="1" customHeight="1" x14ac:dyDescent="0.25">
      <c r="A84" s="93"/>
      <c r="B84" s="142" t="s">
        <v>309</v>
      </c>
      <c r="C84" s="100" t="s">
        <v>184</v>
      </c>
      <c r="D84" s="104" t="s">
        <v>186</v>
      </c>
      <c r="E84" s="105">
        <v>39171</v>
      </c>
      <c r="F84" s="145" t="s">
        <v>310</v>
      </c>
      <c r="G84" s="143">
        <v>2500</v>
      </c>
      <c r="H84" s="94"/>
      <c r="I84" s="94"/>
      <c r="J84" s="98"/>
      <c r="K84" s="118"/>
    </row>
    <row r="85" spans="1:11" s="136" customFormat="1" ht="15.75" hidden="1" customHeight="1" x14ac:dyDescent="0.25">
      <c r="A85" s="108"/>
      <c r="B85" s="99" t="s">
        <v>304</v>
      </c>
      <c r="C85" s="100" t="s">
        <v>184</v>
      </c>
      <c r="D85" s="104" t="s">
        <v>186</v>
      </c>
      <c r="E85" s="105">
        <v>39994</v>
      </c>
      <c r="F85" s="145" t="s">
        <v>311</v>
      </c>
      <c r="G85" s="143">
        <v>8850</v>
      </c>
      <c r="H85" s="94"/>
      <c r="I85" s="94"/>
      <c r="J85" s="94"/>
      <c r="K85" s="116"/>
    </row>
    <row r="86" spans="1:11" s="136" customFormat="1" ht="15.75" hidden="1" customHeight="1" x14ac:dyDescent="0.25">
      <c r="A86" s="108"/>
      <c r="B86" s="99" t="s">
        <v>312</v>
      </c>
      <c r="C86" s="100" t="s">
        <v>184</v>
      </c>
      <c r="D86" s="104" t="s">
        <v>186</v>
      </c>
      <c r="E86" s="105">
        <v>42986</v>
      </c>
      <c r="F86" s="145" t="s">
        <v>313</v>
      </c>
      <c r="G86" s="143">
        <v>4570</v>
      </c>
      <c r="H86" s="94"/>
      <c r="I86" s="94"/>
      <c r="J86" s="94"/>
      <c r="K86" s="116"/>
    </row>
    <row r="87" spans="1:11" ht="15.75" hidden="1" customHeight="1" x14ac:dyDescent="0.25">
      <c r="A87" s="93"/>
      <c r="B87" s="99" t="s">
        <v>314</v>
      </c>
      <c r="C87" s="100" t="s">
        <v>184</v>
      </c>
      <c r="D87" s="104" t="s">
        <v>186</v>
      </c>
      <c r="E87" s="105">
        <v>40190</v>
      </c>
      <c r="F87" s="145" t="s">
        <v>315</v>
      </c>
      <c r="G87" s="143">
        <v>5850</v>
      </c>
      <c r="H87" s="94"/>
      <c r="I87" s="94"/>
      <c r="J87" s="98"/>
      <c r="K87" s="118"/>
    </row>
    <row r="88" spans="1:11" ht="15.75" hidden="1" customHeight="1" x14ac:dyDescent="0.25">
      <c r="A88" s="93"/>
      <c r="B88" s="99" t="s">
        <v>314</v>
      </c>
      <c r="C88" s="100" t="s">
        <v>184</v>
      </c>
      <c r="D88" s="104" t="s">
        <v>186</v>
      </c>
      <c r="E88" s="105">
        <v>39944</v>
      </c>
      <c r="F88" s="145" t="s">
        <v>316</v>
      </c>
      <c r="G88" s="143">
        <v>5850</v>
      </c>
      <c r="H88" s="94"/>
      <c r="I88" s="94"/>
      <c r="J88" s="98"/>
      <c r="K88" s="118"/>
    </row>
    <row r="89" spans="1:11" ht="15.75" hidden="1" customHeight="1" x14ac:dyDescent="0.25">
      <c r="A89" s="93"/>
      <c r="B89" s="145" t="s">
        <v>317</v>
      </c>
      <c r="C89" s="100" t="s">
        <v>184</v>
      </c>
      <c r="D89" s="104" t="s">
        <v>186</v>
      </c>
      <c r="E89" s="105" t="s">
        <v>318</v>
      </c>
      <c r="F89" s="142" t="s">
        <v>319</v>
      </c>
      <c r="G89" s="143">
        <v>8250</v>
      </c>
      <c r="H89" s="94"/>
      <c r="I89" s="94"/>
      <c r="J89" s="98"/>
      <c r="K89" s="118"/>
    </row>
    <row r="90" spans="1:11" ht="15.75" hidden="1" customHeight="1" x14ac:dyDescent="0.25">
      <c r="A90" s="93"/>
      <c r="B90" s="142" t="s">
        <v>314</v>
      </c>
      <c r="C90" s="100" t="s">
        <v>184</v>
      </c>
      <c r="D90" s="104" t="s">
        <v>186</v>
      </c>
      <c r="E90" s="105">
        <v>39944</v>
      </c>
      <c r="F90" s="142" t="s">
        <v>320</v>
      </c>
      <c r="G90" s="146">
        <v>5850</v>
      </c>
      <c r="H90" s="94"/>
      <c r="I90" s="94"/>
      <c r="J90" s="98"/>
      <c r="K90" s="118"/>
    </row>
    <row r="91" spans="1:11" ht="15.75" hidden="1" customHeight="1" x14ac:dyDescent="0.25">
      <c r="A91" s="93"/>
      <c r="B91" s="142" t="s">
        <v>314</v>
      </c>
      <c r="C91" s="100" t="s">
        <v>184</v>
      </c>
      <c r="D91" s="104" t="s">
        <v>186</v>
      </c>
      <c r="E91" s="105">
        <v>39944</v>
      </c>
      <c r="F91" s="145" t="s">
        <v>321</v>
      </c>
      <c r="G91" s="146">
        <v>5850</v>
      </c>
      <c r="H91" s="94"/>
      <c r="I91" s="94"/>
      <c r="J91" s="98"/>
      <c r="K91" s="118"/>
    </row>
    <row r="92" spans="1:11" ht="15.75" hidden="1" customHeight="1" x14ac:dyDescent="0.25">
      <c r="A92" s="93"/>
      <c r="B92" s="99" t="s">
        <v>304</v>
      </c>
      <c r="C92" s="100" t="s">
        <v>184</v>
      </c>
      <c r="D92" s="104" t="s">
        <v>186</v>
      </c>
      <c r="E92" s="105">
        <v>40533</v>
      </c>
      <c r="F92" s="142" t="s">
        <v>322</v>
      </c>
      <c r="G92" s="146">
        <v>6750</v>
      </c>
      <c r="H92" s="94"/>
      <c r="I92" s="94"/>
      <c r="J92" s="98"/>
      <c r="K92" s="118"/>
    </row>
    <row r="93" spans="1:11" ht="15.75" hidden="1" customHeight="1" x14ac:dyDescent="0.25">
      <c r="A93" s="93"/>
      <c r="B93" s="142" t="s">
        <v>314</v>
      </c>
      <c r="C93" s="100" t="s">
        <v>184</v>
      </c>
      <c r="D93" s="104" t="s">
        <v>186</v>
      </c>
      <c r="E93" s="105">
        <v>39944</v>
      </c>
      <c r="F93" s="142" t="s">
        <v>323</v>
      </c>
      <c r="G93" s="146">
        <v>5850</v>
      </c>
      <c r="H93" s="94"/>
      <c r="I93" s="94"/>
      <c r="J93" s="98"/>
      <c r="K93" s="118"/>
    </row>
    <row r="94" spans="1:11" ht="15.75" hidden="1" customHeight="1" x14ac:dyDescent="0.25">
      <c r="A94" s="93"/>
      <c r="B94" s="142" t="s">
        <v>314</v>
      </c>
      <c r="C94" s="100" t="s">
        <v>184</v>
      </c>
      <c r="D94" s="104" t="s">
        <v>186</v>
      </c>
      <c r="E94" s="105">
        <v>39974</v>
      </c>
      <c r="F94" s="142" t="s">
        <v>324</v>
      </c>
      <c r="G94" s="146">
        <v>5850</v>
      </c>
      <c r="H94" s="94"/>
      <c r="I94" s="94"/>
      <c r="J94" s="98"/>
      <c r="K94" s="118"/>
    </row>
    <row r="95" spans="1:11" ht="15.75" hidden="1" customHeight="1" x14ac:dyDescent="0.25">
      <c r="A95" s="93"/>
      <c r="B95" s="142" t="s">
        <v>314</v>
      </c>
      <c r="C95" s="100" t="s">
        <v>184</v>
      </c>
      <c r="D95" s="104" t="s">
        <v>186</v>
      </c>
      <c r="E95" s="105">
        <v>39989</v>
      </c>
      <c r="F95" s="142" t="s">
        <v>325</v>
      </c>
      <c r="G95" s="146">
        <v>5850</v>
      </c>
      <c r="H95" s="94"/>
      <c r="I95" s="94"/>
      <c r="J95" s="98"/>
      <c r="K95" s="118"/>
    </row>
    <row r="96" spans="1:11" ht="15.75" hidden="1" customHeight="1" x14ac:dyDescent="0.25">
      <c r="A96" s="93"/>
      <c r="B96" s="142" t="s">
        <v>314</v>
      </c>
      <c r="C96" s="100" t="s">
        <v>184</v>
      </c>
      <c r="D96" s="104" t="s">
        <v>186</v>
      </c>
      <c r="E96" s="105">
        <v>39944</v>
      </c>
      <c r="F96" s="145" t="s">
        <v>326</v>
      </c>
      <c r="G96" s="146">
        <v>5850</v>
      </c>
      <c r="H96" s="94"/>
      <c r="I96" s="94"/>
      <c r="J96" s="98"/>
      <c r="K96" s="118"/>
    </row>
    <row r="97" spans="1:11" ht="15.75" hidden="1" customHeight="1" x14ac:dyDescent="0.25">
      <c r="A97" s="93"/>
      <c r="B97" s="142" t="s">
        <v>327</v>
      </c>
      <c r="C97" s="100" t="s">
        <v>184</v>
      </c>
      <c r="D97" s="104" t="s">
        <v>186</v>
      </c>
      <c r="E97" s="105">
        <v>39979</v>
      </c>
      <c r="F97" s="145" t="s">
        <v>328</v>
      </c>
      <c r="G97" s="143">
        <v>8250</v>
      </c>
      <c r="H97" s="94"/>
      <c r="I97" s="94"/>
      <c r="J97" s="98"/>
      <c r="K97" s="118"/>
    </row>
    <row r="98" spans="1:11" ht="15.75" hidden="1" customHeight="1" x14ac:dyDescent="0.25">
      <c r="A98" s="93"/>
      <c r="B98" s="99" t="s">
        <v>329</v>
      </c>
      <c r="C98" s="100" t="s">
        <v>184</v>
      </c>
      <c r="D98" s="104" t="s">
        <v>186</v>
      </c>
      <c r="E98" s="105">
        <v>40602</v>
      </c>
      <c r="F98" s="145" t="s">
        <v>330</v>
      </c>
      <c r="G98" s="143">
        <v>2215</v>
      </c>
      <c r="H98" s="94"/>
      <c r="I98" s="94"/>
      <c r="J98" s="98"/>
      <c r="K98" s="118"/>
    </row>
    <row r="99" spans="1:11" ht="15.75" hidden="1" customHeight="1" x14ac:dyDescent="0.25">
      <c r="A99" s="93"/>
      <c r="B99" s="99" t="s">
        <v>304</v>
      </c>
      <c r="C99" s="100" t="s">
        <v>184</v>
      </c>
      <c r="D99" s="104" t="s">
        <v>186</v>
      </c>
      <c r="E99" s="105">
        <v>42137</v>
      </c>
      <c r="F99" s="142" t="s">
        <v>331</v>
      </c>
      <c r="G99" s="146">
        <v>4570</v>
      </c>
      <c r="H99" s="94"/>
      <c r="I99" s="94"/>
      <c r="J99" s="98"/>
      <c r="K99" s="118"/>
    </row>
    <row r="100" spans="1:11" ht="15.75" hidden="1" customHeight="1" x14ac:dyDescent="0.25">
      <c r="A100" s="93"/>
      <c r="B100" s="99" t="s">
        <v>332</v>
      </c>
      <c r="C100" s="100" t="s">
        <v>184</v>
      </c>
      <c r="D100" s="104" t="s">
        <v>186</v>
      </c>
      <c r="E100" s="105">
        <v>42660</v>
      </c>
      <c r="F100" s="145" t="s">
        <v>333</v>
      </c>
      <c r="G100" s="143">
        <v>3730</v>
      </c>
      <c r="H100" s="94"/>
      <c r="I100" s="94"/>
      <c r="J100" s="98"/>
      <c r="K100" s="118"/>
    </row>
    <row r="101" spans="1:11" ht="15.75" hidden="1" customHeight="1" x14ac:dyDescent="0.25">
      <c r="A101" s="93"/>
      <c r="B101" s="99" t="s">
        <v>332</v>
      </c>
      <c r="C101" s="100" t="s">
        <v>184</v>
      </c>
      <c r="D101" s="104" t="s">
        <v>186</v>
      </c>
      <c r="E101" s="105">
        <v>42660</v>
      </c>
      <c r="F101" s="145" t="s">
        <v>334</v>
      </c>
      <c r="G101" s="143">
        <v>3730</v>
      </c>
      <c r="H101" s="94"/>
      <c r="I101" s="94"/>
      <c r="J101" s="98"/>
      <c r="K101" s="118"/>
    </row>
    <row r="102" spans="1:11" ht="15.75" hidden="1" customHeight="1" x14ac:dyDescent="0.25">
      <c r="A102" s="93"/>
      <c r="B102" s="94" t="s">
        <v>335</v>
      </c>
      <c r="C102" s="100" t="s">
        <v>184</v>
      </c>
      <c r="D102" s="104" t="s">
        <v>186</v>
      </c>
      <c r="E102" s="105">
        <v>42660</v>
      </c>
      <c r="F102" s="145" t="s">
        <v>336</v>
      </c>
      <c r="G102" s="143">
        <v>4570</v>
      </c>
      <c r="H102" s="94"/>
      <c r="I102" s="94"/>
      <c r="J102" s="98"/>
      <c r="K102" s="118"/>
    </row>
    <row r="103" spans="1:11" ht="15.75" hidden="1" customHeight="1" x14ac:dyDescent="0.25">
      <c r="A103" s="93"/>
      <c r="B103" s="145" t="s">
        <v>335</v>
      </c>
      <c r="C103" s="100" t="s">
        <v>184</v>
      </c>
      <c r="D103" s="104" t="s">
        <v>186</v>
      </c>
      <c r="E103" s="105">
        <v>42660</v>
      </c>
      <c r="F103" s="145" t="s">
        <v>337</v>
      </c>
      <c r="G103" s="146">
        <v>4570</v>
      </c>
      <c r="H103" s="94"/>
      <c r="I103" s="94"/>
      <c r="J103" s="98"/>
      <c r="K103" s="118"/>
    </row>
    <row r="104" spans="1:11" ht="15" hidden="1" customHeight="1" x14ac:dyDescent="0.25">
      <c r="A104" s="129"/>
      <c r="B104" s="99" t="s">
        <v>332</v>
      </c>
      <c r="C104" s="100" t="s">
        <v>184</v>
      </c>
      <c r="D104" s="104" t="s">
        <v>186</v>
      </c>
      <c r="E104" s="105">
        <v>42843</v>
      </c>
      <c r="F104" s="145" t="s">
        <v>338</v>
      </c>
      <c r="G104" s="143">
        <v>3310</v>
      </c>
      <c r="H104" s="145"/>
      <c r="I104" s="145"/>
      <c r="J104" s="129"/>
      <c r="K104" s="165"/>
    </row>
    <row r="105" spans="1:11" ht="15.75" hidden="1" customHeight="1" x14ac:dyDescent="0.25">
      <c r="A105" s="93"/>
      <c r="B105" s="99" t="s">
        <v>339</v>
      </c>
      <c r="C105" s="100" t="s">
        <v>184</v>
      </c>
      <c r="D105" s="104" t="s">
        <v>186</v>
      </c>
      <c r="E105" s="105">
        <v>37637</v>
      </c>
      <c r="F105" s="145" t="s">
        <v>340</v>
      </c>
      <c r="G105" s="143">
        <v>730</v>
      </c>
      <c r="H105" s="94"/>
      <c r="I105" s="94"/>
      <c r="J105" s="98"/>
      <c r="K105" s="118"/>
    </row>
    <row r="106" spans="1:11" ht="15.75" hidden="1" customHeight="1" x14ac:dyDescent="0.25">
      <c r="A106" s="93"/>
      <c r="B106" s="145" t="s">
        <v>341</v>
      </c>
      <c r="C106" s="100" t="s">
        <v>184</v>
      </c>
      <c r="D106" s="104" t="s">
        <v>186</v>
      </c>
      <c r="E106" s="149">
        <v>43761</v>
      </c>
      <c r="F106" s="145" t="s">
        <v>342</v>
      </c>
      <c r="G106" s="143">
        <v>3200</v>
      </c>
      <c r="H106" s="94"/>
      <c r="I106" s="94"/>
      <c r="J106" s="98"/>
      <c r="K106" s="118"/>
    </row>
    <row r="107" spans="1:11" ht="15.75" hidden="1" customHeight="1" x14ac:dyDescent="0.25">
      <c r="A107" s="93"/>
      <c r="B107" s="145" t="s">
        <v>341</v>
      </c>
      <c r="C107" s="100" t="s">
        <v>184</v>
      </c>
      <c r="D107" s="104" t="s">
        <v>186</v>
      </c>
      <c r="E107" s="149">
        <v>43761</v>
      </c>
      <c r="F107" s="145" t="s">
        <v>343</v>
      </c>
      <c r="G107" s="143">
        <v>3200</v>
      </c>
      <c r="H107" s="94"/>
      <c r="I107" s="94"/>
      <c r="J107" s="98"/>
      <c r="K107" s="118"/>
    </row>
    <row r="108" spans="1:11" ht="15.75" hidden="1" customHeight="1" x14ac:dyDescent="0.25">
      <c r="A108" s="93"/>
      <c r="B108" s="145" t="s">
        <v>341</v>
      </c>
      <c r="C108" s="100" t="s">
        <v>184</v>
      </c>
      <c r="D108" s="104" t="s">
        <v>186</v>
      </c>
      <c r="E108" s="149">
        <v>43761</v>
      </c>
      <c r="F108" s="145" t="s">
        <v>344</v>
      </c>
      <c r="G108" s="143">
        <v>3200</v>
      </c>
      <c r="H108" s="94"/>
      <c r="I108" s="94"/>
      <c r="J108" s="98"/>
      <c r="K108" s="118"/>
    </row>
    <row r="109" spans="1:11" ht="15.75" hidden="1" customHeight="1" x14ac:dyDescent="0.25">
      <c r="A109" s="93"/>
      <c r="B109" s="145" t="s">
        <v>341</v>
      </c>
      <c r="C109" s="100" t="s">
        <v>184</v>
      </c>
      <c r="D109" s="104" t="s">
        <v>186</v>
      </c>
      <c r="E109" s="149">
        <v>43761</v>
      </c>
      <c r="F109" s="145" t="s">
        <v>345</v>
      </c>
      <c r="G109" s="143">
        <v>3200</v>
      </c>
      <c r="H109" s="94"/>
      <c r="I109" s="94"/>
      <c r="J109" s="98"/>
      <c r="K109" s="118"/>
    </row>
    <row r="110" spans="1:11" ht="15.75" hidden="1" customHeight="1" x14ac:dyDescent="0.25">
      <c r="A110" s="93"/>
      <c r="B110" s="145" t="s">
        <v>346</v>
      </c>
      <c r="C110" s="100" t="s">
        <v>184</v>
      </c>
      <c r="D110" s="104" t="s">
        <v>186</v>
      </c>
      <c r="E110" s="105">
        <v>37637</v>
      </c>
      <c r="F110" s="145" t="s">
        <v>347</v>
      </c>
      <c r="G110" s="143">
        <v>1295</v>
      </c>
      <c r="H110" s="94"/>
      <c r="I110" s="94"/>
      <c r="J110" s="98"/>
      <c r="K110" s="118"/>
    </row>
    <row r="111" spans="1:11" ht="15.75" hidden="1" customHeight="1" x14ac:dyDescent="0.25">
      <c r="A111" s="93"/>
      <c r="B111" s="99" t="s">
        <v>348</v>
      </c>
      <c r="C111" s="100" t="s">
        <v>184</v>
      </c>
      <c r="D111" s="104" t="s">
        <v>186</v>
      </c>
      <c r="E111" s="105">
        <v>40028</v>
      </c>
      <c r="F111" s="145" t="s">
        <v>349</v>
      </c>
      <c r="G111" s="143">
        <v>2621.5</v>
      </c>
      <c r="H111" s="94"/>
      <c r="I111" s="94"/>
      <c r="J111" s="98"/>
      <c r="K111" s="118"/>
    </row>
    <row r="112" spans="1:11" ht="15.75" hidden="1" customHeight="1" x14ac:dyDescent="0.25">
      <c r="A112" s="93"/>
      <c r="B112" s="99" t="s">
        <v>348</v>
      </c>
      <c r="C112" s="100" t="s">
        <v>184</v>
      </c>
      <c r="D112" s="104" t="s">
        <v>186</v>
      </c>
      <c r="E112" s="105">
        <v>40028</v>
      </c>
      <c r="F112" s="145" t="s">
        <v>350</v>
      </c>
      <c r="G112" s="143">
        <v>2621.5</v>
      </c>
      <c r="H112" s="94"/>
      <c r="I112" s="94"/>
      <c r="J112" s="98"/>
      <c r="K112" s="118"/>
    </row>
    <row r="113" spans="1:11" ht="15.75" hidden="1" customHeight="1" x14ac:dyDescent="0.25">
      <c r="A113" s="93"/>
      <c r="B113" s="99" t="s">
        <v>348</v>
      </c>
      <c r="C113" s="100" t="s">
        <v>184</v>
      </c>
      <c r="D113" s="104" t="s">
        <v>186</v>
      </c>
      <c r="E113" s="105">
        <v>40028</v>
      </c>
      <c r="F113" s="145" t="s">
        <v>351</v>
      </c>
      <c r="G113" s="143">
        <v>2621.5</v>
      </c>
      <c r="H113" s="94"/>
      <c r="I113" s="94"/>
      <c r="J113" s="98"/>
      <c r="K113" s="118"/>
    </row>
    <row r="114" spans="1:11" ht="15.75" hidden="1" customHeight="1" x14ac:dyDescent="0.25">
      <c r="A114" s="93"/>
      <c r="B114" s="99" t="s">
        <v>348</v>
      </c>
      <c r="C114" s="100" t="s">
        <v>184</v>
      </c>
      <c r="D114" s="104" t="s">
        <v>186</v>
      </c>
      <c r="E114" s="105">
        <v>40028</v>
      </c>
      <c r="F114" s="145" t="s">
        <v>352</v>
      </c>
      <c r="G114" s="143">
        <v>2621.5</v>
      </c>
      <c r="H114" s="94"/>
      <c r="I114" s="94"/>
      <c r="J114" s="98"/>
      <c r="K114" s="118"/>
    </row>
    <row r="115" spans="1:11" ht="15.75" hidden="1" customHeight="1" x14ac:dyDescent="0.25">
      <c r="A115" s="93"/>
      <c r="B115" s="99" t="s">
        <v>348</v>
      </c>
      <c r="C115" s="100" t="s">
        <v>184</v>
      </c>
      <c r="D115" s="104" t="s">
        <v>186</v>
      </c>
      <c r="E115" s="105">
        <v>40028</v>
      </c>
      <c r="F115" s="145" t="s">
        <v>353</v>
      </c>
      <c r="G115" s="143">
        <v>2621.5</v>
      </c>
      <c r="H115" s="94"/>
      <c r="I115" s="94"/>
      <c r="J115" s="98"/>
      <c r="K115" s="118"/>
    </row>
    <row r="116" spans="1:11" ht="15.75" hidden="1" customHeight="1" x14ac:dyDescent="0.25">
      <c r="A116" s="93"/>
      <c r="B116" s="99" t="s">
        <v>348</v>
      </c>
      <c r="C116" s="100" t="s">
        <v>184</v>
      </c>
      <c r="D116" s="104" t="s">
        <v>186</v>
      </c>
      <c r="E116" s="105">
        <v>40028</v>
      </c>
      <c r="F116" s="145" t="s">
        <v>354</v>
      </c>
      <c r="G116" s="143">
        <v>2621.5</v>
      </c>
      <c r="H116" s="94"/>
      <c r="I116" s="94"/>
      <c r="J116" s="98"/>
      <c r="K116" s="118"/>
    </row>
    <row r="117" spans="1:11" ht="15.75" hidden="1" customHeight="1" x14ac:dyDescent="0.25">
      <c r="A117" s="93"/>
      <c r="B117" s="99" t="s">
        <v>348</v>
      </c>
      <c r="C117" s="100" t="s">
        <v>184</v>
      </c>
      <c r="D117" s="104" t="s">
        <v>186</v>
      </c>
      <c r="E117" s="105">
        <v>40028</v>
      </c>
      <c r="F117" s="145" t="s">
        <v>355</v>
      </c>
      <c r="G117" s="143">
        <v>2621.5</v>
      </c>
      <c r="H117" s="94"/>
      <c r="I117" s="94"/>
      <c r="J117" s="98"/>
      <c r="K117" s="118"/>
    </row>
    <row r="118" spans="1:11" ht="15.75" hidden="1" customHeight="1" x14ac:dyDescent="0.25">
      <c r="A118" s="93"/>
      <c r="B118" s="99" t="s">
        <v>348</v>
      </c>
      <c r="C118" s="100" t="s">
        <v>184</v>
      </c>
      <c r="D118" s="104" t="s">
        <v>186</v>
      </c>
      <c r="E118" s="105">
        <v>40028</v>
      </c>
      <c r="F118" s="145" t="s">
        <v>356</v>
      </c>
      <c r="G118" s="143">
        <v>2621.5</v>
      </c>
      <c r="H118" s="94"/>
      <c r="I118" s="94"/>
      <c r="J118" s="98"/>
      <c r="K118" s="118"/>
    </row>
    <row r="119" spans="1:11" ht="15.75" hidden="1" customHeight="1" x14ac:dyDescent="0.25">
      <c r="A119" s="93"/>
      <c r="B119" s="99" t="s">
        <v>348</v>
      </c>
      <c r="C119" s="100" t="s">
        <v>184</v>
      </c>
      <c r="D119" s="104" t="s">
        <v>186</v>
      </c>
      <c r="E119" s="105">
        <v>40028</v>
      </c>
      <c r="F119" s="145" t="s">
        <v>357</v>
      </c>
      <c r="G119" s="143">
        <v>2621.5</v>
      </c>
      <c r="H119" s="94"/>
      <c r="I119" s="94"/>
      <c r="J119" s="98"/>
      <c r="K119" s="118"/>
    </row>
    <row r="120" spans="1:11" ht="15.75" hidden="1" customHeight="1" x14ac:dyDescent="0.25">
      <c r="A120" s="93"/>
      <c r="B120" s="99" t="s">
        <v>348</v>
      </c>
      <c r="C120" s="100" t="s">
        <v>184</v>
      </c>
      <c r="D120" s="104" t="s">
        <v>186</v>
      </c>
      <c r="E120" s="105">
        <v>40028</v>
      </c>
      <c r="F120" s="145" t="s">
        <v>358</v>
      </c>
      <c r="G120" s="143">
        <v>2621.5</v>
      </c>
      <c r="H120" s="94"/>
      <c r="I120" s="94"/>
      <c r="J120" s="98"/>
      <c r="K120" s="118"/>
    </row>
    <row r="121" spans="1:11" ht="15.75" hidden="1" customHeight="1" x14ac:dyDescent="0.25">
      <c r="A121" s="93"/>
      <c r="B121" s="94" t="s">
        <v>359</v>
      </c>
      <c r="C121" s="100" t="s">
        <v>184</v>
      </c>
      <c r="D121" s="104" t="s">
        <v>186</v>
      </c>
      <c r="E121" s="105">
        <v>40492</v>
      </c>
      <c r="F121" s="145" t="s">
        <v>360</v>
      </c>
      <c r="G121" s="143">
        <v>995</v>
      </c>
      <c r="H121" s="94"/>
      <c r="I121" s="94"/>
      <c r="J121" s="98"/>
      <c r="K121" s="118"/>
    </row>
    <row r="122" spans="1:11" ht="15.75" hidden="1" customHeight="1" x14ac:dyDescent="0.25">
      <c r="A122" s="93"/>
      <c r="B122" s="99" t="s">
        <v>361</v>
      </c>
      <c r="C122" s="100" t="s">
        <v>184</v>
      </c>
      <c r="D122" s="104" t="s">
        <v>186</v>
      </c>
      <c r="E122" s="105">
        <v>37637</v>
      </c>
      <c r="F122" s="145" t="s">
        <v>362</v>
      </c>
      <c r="G122" s="143">
        <v>1549</v>
      </c>
      <c r="H122" s="94"/>
      <c r="I122" s="94"/>
      <c r="J122" s="98"/>
      <c r="K122" s="118"/>
    </row>
    <row r="123" spans="1:11" ht="15.75" hidden="1" customHeight="1" x14ac:dyDescent="0.25">
      <c r="A123" s="93"/>
      <c r="B123" s="142" t="s">
        <v>363</v>
      </c>
      <c r="C123" s="100" t="s">
        <v>184</v>
      </c>
      <c r="D123" s="104" t="s">
        <v>186</v>
      </c>
      <c r="E123" s="105">
        <v>37741</v>
      </c>
      <c r="F123" s="142" t="s">
        <v>364</v>
      </c>
      <c r="G123" s="146">
        <v>1430</v>
      </c>
      <c r="H123" s="94"/>
      <c r="I123" s="94"/>
      <c r="J123" s="98"/>
      <c r="K123" s="118"/>
    </row>
    <row r="124" spans="1:11" ht="15.75" hidden="1" customHeight="1" x14ac:dyDescent="0.25">
      <c r="A124" s="93"/>
      <c r="B124" s="94" t="s">
        <v>365</v>
      </c>
      <c r="C124" s="100" t="s">
        <v>184</v>
      </c>
      <c r="D124" s="104" t="s">
        <v>186</v>
      </c>
      <c r="E124" s="105">
        <v>43755</v>
      </c>
      <c r="F124" s="145" t="s">
        <v>366</v>
      </c>
      <c r="G124" s="143">
        <v>6440</v>
      </c>
      <c r="H124" s="94"/>
      <c r="I124" s="94"/>
      <c r="J124" s="98"/>
      <c r="K124" s="118"/>
    </row>
    <row r="125" spans="1:11" ht="15.75" hidden="1" customHeight="1" x14ac:dyDescent="0.25">
      <c r="A125" s="93"/>
      <c r="B125" s="94" t="s">
        <v>367</v>
      </c>
      <c r="C125" s="100" t="s">
        <v>184</v>
      </c>
      <c r="D125" s="104" t="s">
        <v>186</v>
      </c>
      <c r="E125" s="105">
        <v>39994</v>
      </c>
      <c r="F125" s="145" t="s">
        <v>368</v>
      </c>
      <c r="G125" s="143">
        <v>1238</v>
      </c>
      <c r="H125" s="94"/>
      <c r="I125" s="94"/>
      <c r="J125" s="98"/>
      <c r="K125" s="118"/>
    </row>
    <row r="126" spans="1:11" ht="15.75" hidden="1" customHeight="1" x14ac:dyDescent="0.25">
      <c r="A126" s="93"/>
      <c r="B126" s="94" t="s">
        <v>367</v>
      </c>
      <c r="C126" s="100" t="s">
        <v>184</v>
      </c>
      <c r="D126" s="104" t="s">
        <v>186</v>
      </c>
      <c r="E126" s="105">
        <v>39989</v>
      </c>
      <c r="F126" s="145" t="s">
        <v>369</v>
      </c>
      <c r="G126" s="143">
        <v>1238</v>
      </c>
      <c r="H126" s="94"/>
      <c r="I126" s="94"/>
      <c r="J126" s="98"/>
      <c r="K126" s="118"/>
    </row>
    <row r="127" spans="1:11" ht="15.75" hidden="1" customHeight="1" x14ac:dyDescent="0.25">
      <c r="A127" s="93"/>
      <c r="B127" s="142" t="s">
        <v>367</v>
      </c>
      <c r="C127" s="100" t="s">
        <v>184</v>
      </c>
      <c r="D127" s="104" t="s">
        <v>186</v>
      </c>
      <c r="E127" s="105">
        <v>39989</v>
      </c>
      <c r="F127" s="142" t="s">
        <v>370</v>
      </c>
      <c r="G127" s="146">
        <v>1238</v>
      </c>
      <c r="H127" s="94"/>
      <c r="I127" s="94"/>
      <c r="J127" s="98"/>
      <c r="K127" s="118"/>
    </row>
    <row r="128" spans="1:11" ht="15.75" hidden="1" customHeight="1" x14ac:dyDescent="0.25">
      <c r="A128" s="93"/>
      <c r="B128" s="99" t="s">
        <v>371</v>
      </c>
      <c r="C128" s="100" t="s">
        <v>184</v>
      </c>
      <c r="D128" s="104" t="s">
        <v>186</v>
      </c>
      <c r="E128" s="105">
        <v>40326</v>
      </c>
      <c r="F128" s="145" t="s">
        <v>372</v>
      </c>
      <c r="G128" s="143">
        <v>789</v>
      </c>
      <c r="H128" s="94"/>
      <c r="I128" s="94"/>
      <c r="J128" s="98"/>
      <c r="K128" s="118"/>
    </row>
    <row r="129" spans="1:11" s="136" customFormat="1" ht="15.75" hidden="1" customHeight="1" x14ac:dyDescent="0.25">
      <c r="A129" s="108"/>
      <c r="B129" s="99" t="s">
        <v>373</v>
      </c>
      <c r="C129" s="100" t="s">
        <v>184</v>
      </c>
      <c r="D129" s="104" t="s">
        <v>186</v>
      </c>
      <c r="E129" s="105">
        <v>40142</v>
      </c>
      <c r="F129" s="145" t="s">
        <v>374</v>
      </c>
      <c r="G129" s="143">
        <v>1300</v>
      </c>
      <c r="H129" s="94"/>
      <c r="I129" s="94"/>
      <c r="J129" s="94"/>
      <c r="K129" s="116"/>
    </row>
    <row r="130" spans="1:11" ht="15.75" hidden="1" customHeight="1" x14ac:dyDescent="0.25">
      <c r="A130" s="93"/>
      <c r="B130" s="145" t="s">
        <v>375</v>
      </c>
      <c r="C130" s="100" t="s">
        <v>184</v>
      </c>
      <c r="D130" s="104" t="s">
        <v>186</v>
      </c>
      <c r="E130" s="105">
        <v>40225</v>
      </c>
      <c r="F130" s="145" t="s">
        <v>376</v>
      </c>
      <c r="G130" s="143">
        <v>7000</v>
      </c>
      <c r="H130" s="94"/>
      <c r="I130" s="94"/>
      <c r="J130" s="98"/>
      <c r="K130" s="118"/>
    </row>
    <row r="131" spans="1:11" ht="15.75" hidden="1" customHeight="1" x14ac:dyDescent="0.25">
      <c r="A131" s="93"/>
      <c r="B131" s="145" t="s">
        <v>377</v>
      </c>
      <c r="C131" s="100" t="s">
        <v>184</v>
      </c>
      <c r="D131" s="104" t="s">
        <v>186</v>
      </c>
      <c r="E131" s="105">
        <v>42768</v>
      </c>
      <c r="F131" s="145" t="s">
        <v>378</v>
      </c>
      <c r="G131" s="143">
        <v>8000</v>
      </c>
      <c r="H131" s="94"/>
      <c r="I131" s="94"/>
      <c r="J131" s="98"/>
      <c r="K131" s="118"/>
    </row>
    <row r="132" spans="1:11" s="136" customFormat="1" ht="15.75" hidden="1" customHeight="1" x14ac:dyDescent="0.25">
      <c r="A132" s="108"/>
      <c r="B132" s="99" t="s">
        <v>379</v>
      </c>
      <c r="C132" s="100" t="s">
        <v>184</v>
      </c>
      <c r="D132" s="104" t="s">
        <v>186</v>
      </c>
      <c r="E132" s="105" t="s">
        <v>380</v>
      </c>
      <c r="F132" s="145" t="s">
        <v>381</v>
      </c>
      <c r="G132" s="143">
        <v>14300</v>
      </c>
      <c r="H132" s="94"/>
      <c r="I132" s="94"/>
      <c r="J132" s="94"/>
      <c r="K132" s="116"/>
    </row>
    <row r="133" spans="1:11" ht="15.75" hidden="1" customHeight="1" x14ac:dyDescent="0.25">
      <c r="A133" s="93"/>
      <c r="B133" s="145" t="s">
        <v>377</v>
      </c>
      <c r="C133" s="100" t="s">
        <v>184</v>
      </c>
      <c r="D133" s="104" t="s">
        <v>186</v>
      </c>
      <c r="E133" s="105">
        <v>42768</v>
      </c>
      <c r="F133" s="145" t="s">
        <v>382</v>
      </c>
      <c r="G133" s="143">
        <v>8000</v>
      </c>
      <c r="H133" s="94"/>
      <c r="I133" s="94"/>
      <c r="J133" s="98"/>
      <c r="K133" s="118"/>
    </row>
    <row r="134" spans="1:11" ht="15" hidden="1" customHeight="1" x14ac:dyDescent="0.25">
      <c r="A134" s="129"/>
      <c r="B134" s="142" t="s">
        <v>383</v>
      </c>
      <c r="C134" s="100" t="s">
        <v>184</v>
      </c>
      <c r="D134" s="104" t="s">
        <v>186</v>
      </c>
      <c r="E134" s="105">
        <v>43039</v>
      </c>
      <c r="F134" s="142" t="s">
        <v>384</v>
      </c>
      <c r="G134" s="143">
        <v>4600</v>
      </c>
      <c r="H134" s="145"/>
      <c r="I134" s="145"/>
      <c r="J134" s="129"/>
      <c r="K134" s="165"/>
    </row>
    <row r="135" spans="1:11" ht="15.75" hidden="1" customHeight="1" x14ac:dyDescent="0.25">
      <c r="A135" s="93"/>
      <c r="B135" s="94" t="s">
        <v>385</v>
      </c>
      <c r="C135" s="100" t="s">
        <v>184</v>
      </c>
      <c r="D135" s="104" t="s">
        <v>186</v>
      </c>
      <c r="E135" s="105" t="s">
        <v>386</v>
      </c>
      <c r="F135" s="145" t="s">
        <v>387</v>
      </c>
      <c r="G135" s="143">
        <v>3225</v>
      </c>
      <c r="H135" s="94"/>
      <c r="I135" s="94"/>
      <c r="J135" s="98"/>
      <c r="K135" s="118"/>
    </row>
    <row r="136" spans="1:11" ht="15.75" hidden="1" customHeight="1" x14ac:dyDescent="0.25">
      <c r="A136" s="93"/>
      <c r="B136" s="99" t="s">
        <v>388</v>
      </c>
      <c r="C136" s="100" t="s">
        <v>184</v>
      </c>
      <c r="D136" s="104" t="s">
        <v>186</v>
      </c>
      <c r="E136" s="105">
        <v>39660</v>
      </c>
      <c r="F136" s="145" t="s">
        <v>389</v>
      </c>
      <c r="G136" s="143">
        <v>6025</v>
      </c>
      <c r="H136" s="94"/>
      <c r="I136" s="94"/>
      <c r="J136" s="98"/>
      <c r="K136" s="118"/>
    </row>
    <row r="137" spans="1:11" ht="15.75" hidden="1" customHeight="1" x14ac:dyDescent="0.25">
      <c r="A137" s="93"/>
      <c r="B137" s="145" t="s">
        <v>385</v>
      </c>
      <c r="C137" s="100" t="s">
        <v>184</v>
      </c>
      <c r="D137" s="104" t="s">
        <v>186</v>
      </c>
      <c r="E137" s="149">
        <v>40616</v>
      </c>
      <c r="F137" s="145" t="s">
        <v>390</v>
      </c>
      <c r="G137" s="143">
        <v>3000</v>
      </c>
      <c r="H137" s="94"/>
      <c r="I137" s="94"/>
      <c r="J137" s="98"/>
      <c r="K137" s="118"/>
    </row>
    <row r="138" spans="1:11" ht="15.75" hidden="1" customHeight="1" x14ac:dyDescent="0.25">
      <c r="A138" s="93"/>
      <c r="B138" s="94" t="s">
        <v>391</v>
      </c>
      <c r="C138" s="100" t="s">
        <v>184</v>
      </c>
      <c r="D138" s="104" t="s">
        <v>186</v>
      </c>
      <c r="E138" s="105">
        <v>42660</v>
      </c>
      <c r="F138" s="145" t="s">
        <v>392</v>
      </c>
      <c r="G138" s="143">
        <v>1275</v>
      </c>
      <c r="H138" s="94"/>
      <c r="I138" s="94"/>
      <c r="J138" s="98"/>
      <c r="K138" s="118"/>
    </row>
    <row r="139" spans="1:11" ht="15.75" hidden="1" customHeight="1" x14ac:dyDescent="0.25">
      <c r="A139" s="93"/>
      <c r="B139" s="94" t="s">
        <v>393</v>
      </c>
      <c r="C139" s="100" t="s">
        <v>184</v>
      </c>
      <c r="D139" s="104" t="s">
        <v>186</v>
      </c>
      <c r="E139" s="105">
        <v>43775</v>
      </c>
      <c r="F139" s="145" t="s">
        <v>394</v>
      </c>
      <c r="G139" s="143">
        <v>6450</v>
      </c>
      <c r="H139" s="94"/>
      <c r="I139" s="94"/>
      <c r="J139" s="98"/>
      <c r="K139" s="118"/>
    </row>
    <row r="140" spans="1:11" ht="15.75" hidden="1" customHeight="1" x14ac:dyDescent="0.25">
      <c r="A140" s="93"/>
      <c r="B140" s="94" t="s">
        <v>395</v>
      </c>
      <c r="C140" s="100" t="s">
        <v>184</v>
      </c>
      <c r="D140" s="104" t="s">
        <v>186</v>
      </c>
      <c r="E140" s="105">
        <v>39989</v>
      </c>
      <c r="F140" s="145" t="s">
        <v>396</v>
      </c>
      <c r="G140" s="143">
        <v>1575</v>
      </c>
      <c r="H140" s="94"/>
      <c r="I140" s="94"/>
      <c r="J140" s="98"/>
      <c r="K140" s="118"/>
    </row>
    <row r="141" spans="1:11" ht="15.75" hidden="1" customHeight="1" x14ac:dyDescent="0.25">
      <c r="A141" s="93"/>
      <c r="B141" s="145" t="s">
        <v>395</v>
      </c>
      <c r="C141" s="100" t="s">
        <v>184</v>
      </c>
      <c r="D141" s="104" t="s">
        <v>186</v>
      </c>
      <c r="E141" s="105">
        <v>39979</v>
      </c>
      <c r="F141" s="145" t="s">
        <v>397</v>
      </c>
      <c r="G141" s="143">
        <v>1575</v>
      </c>
      <c r="H141" s="94"/>
      <c r="I141" s="94"/>
      <c r="J141" s="98"/>
      <c r="K141" s="118"/>
    </row>
    <row r="142" spans="1:11" ht="15.75" hidden="1" customHeight="1" x14ac:dyDescent="0.25">
      <c r="A142" s="93"/>
      <c r="B142" s="145" t="s">
        <v>395</v>
      </c>
      <c r="C142" s="100" t="s">
        <v>184</v>
      </c>
      <c r="D142" s="104" t="s">
        <v>186</v>
      </c>
      <c r="E142" s="105">
        <v>38219</v>
      </c>
      <c r="F142" s="142" t="s">
        <v>398</v>
      </c>
      <c r="G142" s="157">
        <v>1250</v>
      </c>
      <c r="H142" s="94"/>
      <c r="I142" s="94"/>
      <c r="J142" s="98"/>
      <c r="K142" s="118"/>
    </row>
    <row r="143" spans="1:11" ht="15.75" hidden="1" customHeight="1" x14ac:dyDescent="0.25">
      <c r="A143" s="93"/>
      <c r="B143" s="99" t="s">
        <v>395</v>
      </c>
      <c r="C143" s="100" t="s">
        <v>184</v>
      </c>
      <c r="D143" s="104" t="s">
        <v>186</v>
      </c>
      <c r="E143" s="105">
        <v>42240</v>
      </c>
      <c r="F143" s="142" t="s">
        <v>399</v>
      </c>
      <c r="G143" s="146">
        <v>1715</v>
      </c>
      <c r="H143" s="94"/>
      <c r="I143" s="94"/>
      <c r="J143" s="98"/>
      <c r="K143" s="118"/>
    </row>
    <row r="144" spans="1:11" ht="15.75" hidden="1" customHeight="1" x14ac:dyDescent="0.25">
      <c r="A144" s="93"/>
      <c r="B144" s="99" t="s">
        <v>395</v>
      </c>
      <c r="C144" s="100" t="s">
        <v>184</v>
      </c>
      <c r="D144" s="104" t="s">
        <v>186</v>
      </c>
      <c r="E144" s="105">
        <v>38219</v>
      </c>
      <c r="F144" s="142" t="s">
        <v>400</v>
      </c>
      <c r="G144" s="158">
        <v>1250</v>
      </c>
      <c r="H144" s="94"/>
      <c r="I144" s="94"/>
      <c r="J144" s="98"/>
      <c r="K144" s="118"/>
    </row>
    <row r="145" spans="1:11" ht="15" hidden="1" customHeight="1" x14ac:dyDescent="0.25">
      <c r="A145" s="129"/>
      <c r="B145" s="94" t="s">
        <v>346</v>
      </c>
      <c r="C145" s="100" t="s">
        <v>184</v>
      </c>
      <c r="D145" s="104" t="s">
        <v>186</v>
      </c>
      <c r="E145" s="105">
        <v>39988</v>
      </c>
      <c r="F145" s="145" t="s">
        <v>401</v>
      </c>
      <c r="G145" s="141">
        <v>1851</v>
      </c>
      <c r="H145" s="145"/>
      <c r="I145" s="145"/>
      <c r="J145" s="129"/>
      <c r="K145" s="165"/>
    </row>
    <row r="146" spans="1:11" ht="15.75" hidden="1" customHeight="1" x14ac:dyDescent="0.25">
      <c r="A146" s="93"/>
      <c r="B146" s="99" t="s">
        <v>395</v>
      </c>
      <c r="C146" s="100" t="s">
        <v>184</v>
      </c>
      <c r="D146" s="104" t="s">
        <v>186</v>
      </c>
      <c r="E146" s="147">
        <v>42240</v>
      </c>
      <c r="F146" s="99" t="s">
        <v>402</v>
      </c>
      <c r="G146" s="159">
        <v>1575</v>
      </c>
      <c r="H146" s="94"/>
      <c r="I146" s="94"/>
      <c r="J146" s="98"/>
      <c r="K146" s="118"/>
    </row>
    <row r="147" spans="1:11" ht="15" hidden="1" customHeight="1" x14ac:dyDescent="0.25">
      <c r="A147" s="129"/>
      <c r="B147" s="99" t="s">
        <v>395</v>
      </c>
      <c r="C147" s="100" t="s">
        <v>184</v>
      </c>
      <c r="D147" s="104" t="s">
        <v>186</v>
      </c>
      <c r="E147" s="105">
        <v>42240</v>
      </c>
      <c r="F147" s="145" t="s">
        <v>403</v>
      </c>
      <c r="G147" s="141">
        <v>1715</v>
      </c>
      <c r="H147" s="145"/>
      <c r="I147" s="145"/>
      <c r="J147" s="129"/>
      <c r="K147" s="165"/>
    </row>
    <row r="148" spans="1:11" ht="15.75" hidden="1" customHeight="1" x14ac:dyDescent="0.25">
      <c r="A148" s="93"/>
      <c r="B148" s="142" t="s">
        <v>395</v>
      </c>
      <c r="C148" s="100" t="s">
        <v>184</v>
      </c>
      <c r="D148" s="104" t="s">
        <v>186</v>
      </c>
      <c r="E148" s="105">
        <v>37637</v>
      </c>
      <c r="F148" s="145" t="s">
        <v>404</v>
      </c>
      <c r="G148" s="146">
        <v>1715</v>
      </c>
      <c r="H148" s="94"/>
      <c r="I148" s="94"/>
      <c r="J148" s="98"/>
      <c r="K148" s="118"/>
    </row>
    <row r="149" spans="1:11" ht="15.75" hidden="1" customHeight="1" x14ac:dyDescent="0.25">
      <c r="A149" s="93"/>
      <c r="B149" s="142" t="s">
        <v>395</v>
      </c>
      <c r="C149" s="100" t="s">
        <v>184</v>
      </c>
      <c r="D149" s="104" t="s">
        <v>186</v>
      </c>
      <c r="E149" s="105">
        <v>42240</v>
      </c>
      <c r="F149" s="145" t="s">
        <v>405</v>
      </c>
      <c r="G149" s="141">
        <v>1715</v>
      </c>
      <c r="H149" s="94"/>
      <c r="I149" s="94"/>
      <c r="J149" s="98"/>
      <c r="K149" s="118"/>
    </row>
    <row r="150" spans="1:11" ht="15.75" hidden="1" customHeight="1" x14ac:dyDescent="0.25">
      <c r="A150" s="93"/>
      <c r="B150" s="142" t="s">
        <v>395</v>
      </c>
      <c r="C150" s="100" t="s">
        <v>184</v>
      </c>
      <c r="D150" s="104" t="s">
        <v>186</v>
      </c>
      <c r="E150" s="105">
        <v>42240</v>
      </c>
      <c r="F150" s="145" t="s">
        <v>406</v>
      </c>
      <c r="G150" s="143">
        <v>1715</v>
      </c>
      <c r="H150" s="94"/>
      <c r="I150" s="94"/>
      <c r="J150" s="98"/>
      <c r="K150" s="118"/>
    </row>
    <row r="151" spans="1:11" ht="15.75" hidden="1" customHeight="1" x14ac:dyDescent="0.25">
      <c r="A151" s="93"/>
      <c r="B151" s="94" t="s">
        <v>395</v>
      </c>
      <c r="C151" s="100" t="s">
        <v>184</v>
      </c>
      <c r="D151" s="104" t="s">
        <v>186</v>
      </c>
      <c r="E151" s="149">
        <v>39994</v>
      </c>
      <c r="F151" s="145" t="s">
        <v>407</v>
      </c>
      <c r="G151" s="143">
        <v>1575</v>
      </c>
      <c r="H151" s="94"/>
      <c r="I151" s="94"/>
      <c r="J151" s="98"/>
      <c r="K151" s="118"/>
    </row>
    <row r="152" spans="1:11" ht="15.75" hidden="1" customHeight="1" x14ac:dyDescent="0.25">
      <c r="A152" s="93"/>
      <c r="B152" s="142" t="s">
        <v>395</v>
      </c>
      <c r="C152" s="100" t="s">
        <v>184</v>
      </c>
      <c r="D152" s="104" t="s">
        <v>186</v>
      </c>
      <c r="E152" s="105">
        <v>39994</v>
      </c>
      <c r="F152" s="145" t="s">
        <v>408</v>
      </c>
      <c r="G152" s="143">
        <v>1575</v>
      </c>
      <c r="H152" s="94"/>
      <c r="I152" s="94"/>
      <c r="J152" s="98"/>
      <c r="K152" s="118"/>
    </row>
    <row r="153" spans="1:11" ht="15" hidden="1" customHeight="1" x14ac:dyDescent="0.25">
      <c r="A153" s="129"/>
      <c r="B153" s="142" t="s">
        <v>395</v>
      </c>
      <c r="C153" s="100" t="s">
        <v>184</v>
      </c>
      <c r="D153" s="104" t="s">
        <v>186</v>
      </c>
      <c r="E153" s="105">
        <v>39994</v>
      </c>
      <c r="F153" s="145" t="s">
        <v>409</v>
      </c>
      <c r="G153" s="141">
        <v>1575</v>
      </c>
      <c r="H153" s="145"/>
      <c r="I153" s="145"/>
      <c r="J153" s="129"/>
      <c r="K153" s="165"/>
    </row>
    <row r="154" spans="1:11" ht="15.75" hidden="1" customHeight="1" x14ac:dyDescent="0.25">
      <c r="A154" s="93"/>
      <c r="B154" s="99" t="s">
        <v>395</v>
      </c>
      <c r="C154" s="100" t="s">
        <v>184</v>
      </c>
      <c r="D154" s="104" t="s">
        <v>186</v>
      </c>
      <c r="E154" s="105">
        <v>42240</v>
      </c>
      <c r="F154" s="142" t="s">
        <v>410</v>
      </c>
      <c r="G154" s="146">
        <v>1575</v>
      </c>
      <c r="H154" s="94"/>
      <c r="I154" s="94"/>
      <c r="J154" s="98"/>
      <c r="K154" s="118"/>
    </row>
    <row r="155" spans="1:11" ht="15" hidden="1" customHeight="1" x14ac:dyDescent="0.25">
      <c r="A155" s="129"/>
      <c r="B155" s="99" t="s">
        <v>395</v>
      </c>
      <c r="C155" s="100" t="s">
        <v>184</v>
      </c>
      <c r="D155" s="104" t="s">
        <v>186</v>
      </c>
      <c r="E155" s="105">
        <v>39989</v>
      </c>
      <c r="F155" s="145" t="s">
        <v>411</v>
      </c>
      <c r="G155" s="141">
        <v>1575</v>
      </c>
      <c r="H155" s="145"/>
      <c r="I155" s="145"/>
      <c r="J155" s="129"/>
      <c r="K155" s="165"/>
    </row>
    <row r="156" spans="1:11" ht="15.75" hidden="1" customHeight="1" x14ac:dyDescent="0.25">
      <c r="A156" s="93"/>
      <c r="B156" s="94" t="s">
        <v>395</v>
      </c>
      <c r="C156" s="100" t="s">
        <v>184</v>
      </c>
      <c r="D156" s="104" t="s">
        <v>186</v>
      </c>
      <c r="E156" s="105">
        <v>39989</v>
      </c>
      <c r="F156" s="145" t="s">
        <v>412</v>
      </c>
      <c r="G156" s="143">
        <v>1575</v>
      </c>
      <c r="H156" s="94"/>
      <c r="I156" s="94"/>
      <c r="J156" s="98"/>
      <c r="K156" s="118"/>
    </row>
    <row r="157" spans="1:11" ht="15.75" hidden="1" customHeight="1" x14ac:dyDescent="0.25">
      <c r="A157" s="93"/>
      <c r="B157" s="99" t="s">
        <v>395</v>
      </c>
      <c r="C157" s="100" t="s">
        <v>184</v>
      </c>
      <c r="D157" s="104" t="s">
        <v>186</v>
      </c>
      <c r="E157" s="105">
        <v>39989</v>
      </c>
      <c r="F157" s="145" t="s">
        <v>413</v>
      </c>
      <c r="G157" s="143">
        <v>1575</v>
      </c>
      <c r="H157" s="94"/>
      <c r="I157" s="94"/>
      <c r="J157" s="98"/>
      <c r="K157" s="118"/>
    </row>
    <row r="158" spans="1:11" ht="15" hidden="1" customHeight="1" x14ac:dyDescent="0.25">
      <c r="A158" s="129"/>
      <c r="B158" s="99" t="s">
        <v>395</v>
      </c>
      <c r="C158" s="100" t="s">
        <v>184</v>
      </c>
      <c r="D158" s="104" t="s">
        <v>186</v>
      </c>
      <c r="E158" s="105">
        <v>40200</v>
      </c>
      <c r="F158" s="145" t="s">
        <v>414</v>
      </c>
      <c r="G158" s="141">
        <v>1575</v>
      </c>
      <c r="H158" s="145"/>
      <c r="I158" s="145"/>
      <c r="J158" s="129"/>
      <c r="K158" s="165"/>
    </row>
    <row r="159" spans="1:11" ht="15" hidden="1" customHeight="1" x14ac:dyDescent="0.25">
      <c r="A159" s="129"/>
      <c r="B159" s="99" t="s">
        <v>395</v>
      </c>
      <c r="C159" s="100" t="s">
        <v>184</v>
      </c>
      <c r="D159" s="104" t="s">
        <v>186</v>
      </c>
      <c r="E159" s="105">
        <v>40200</v>
      </c>
      <c r="F159" s="145" t="s">
        <v>415</v>
      </c>
      <c r="G159" s="141">
        <v>1575</v>
      </c>
      <c r="H159" s="145"/>
      <c r="I159" s="145"/>
      <c r="J159" s="129"/>
      <c r="K159" s="165"/>
    </row>
    <row r="160" spans="1:11" ht="15" hidden="1" customHeight="1" x14ac:dyDescent="0.25">
      <c r="A160" s="129"/>
      <c r="B160" s="99" t="s">
        <v>395</v>
      </c>
      <c r="C160" s="100" t="s">
        <v>184</v>
      </c>
      <c r="D160" s="104" t="s">
        <v>186</v>
      </c>
      <c r="E160" s="105">
        <v>40200</v>
      </c>
      <c r="F160" s="145" t="s">
        <v>416</v>
      </c>
      <c r="G160" s="141">
        <v>1575</v>
      </c>
      <c r="H160" s="145"/>
      <c r="I160" s="145"/>
      <c r="J160" s="129"/>
      <c r="K160" s="165"/>
    </row>
    <row r="161" spans="1:11" ht="15.75" hidden="1" customHeight="1" x14ac:dyDescent="0.25">
      <c r="A161" s="93"/>
      <c r="B161" s="99" t="s">
        <v>395</v>
      </c>
      <c r="C161" s="100" t="s">
        <v>184</v>
      </c>
      <c r="D161" s="104" t="s">
        <v>186</v>
      </c>
      <c r="E161" s="147">
        <v>40200</v>
      </c>
      <c r="F161" s="99" t="s">
        <v>417</v>
      </c>
      <c r="G161" s="159">
        <v>1575</v>
      </c>
      <c r="H161" s="94"/>
      <c r="I161" s="94"/>
      <c r="J161" s="98"/>
      <c r="K161" s="118"/>
    </row>
    <row r="162" spans="1:11" ht="15.75" hidden="1" customHeight="1" x14ac:dyDescent="0.25">
      <c r="A162" s="93"/>
      <c r="B162" s="145" t="s">
        <v>418</v>
      </c>
      <c r="C162" s="100" t="s">
        <v>184</v>
      </c>
      <c r="D162" s="104" t="s">
        <v>186</v>
      </c>
      <c r="E162" s="105">
        <v>41299</v>
      </c>
      <c r="F162" s="145" t="s">
        <v>419</v>
      </c>
      <c r="G162" s="143">
        <v>2850</v>
      </c>
      <c r="H162" s="94"/>
      <c r="I162" s="94"/>
      <c r="J162" s="98"/>
      <c r="K162" s="118"/>
    </row>
    <row r="163" spans="1:11" ht="15.75" hidden="1" customHeight="1" x14ac:dyDescent="0.25">
      <c r="A163" s="93"/>
      <c r="B163" s="145" t="s">
        <v>418</v>
      </c>
      <c r="C163" s="100" t="s">
        <v>184</v>
      </c>
      <c r="D163" s="104" t="s">
        <v>186</v>
      </c>
      <c r="E163" s="105">
        <v>41299</v>
      </c>
      <c r="F163" s="145" t="s">
        <v>420</v>
      </c>
      <c r="G163" s="143">
        <v>2850</v>
      </c>
      <c r="H163" s="94"/>
      <c r="I163" s="94"/>
      <c r="J163" s="98"/>
      <c r="K163" s="118"/>
    </row>
    <row r="164" spans="1:11" ht="15.75" hidden="1" customHeight="1" x14ac:dyDescent="0.25">
      <c r="A164" s="93"/>
      <c r="B164" s="94" t="s">
        <v>395</v>
      </c>
      <c r="C164" s="100" t="s">
        <v>184</v>
      </c>
      <c r="D164" s="104" t="s">
        <v>186</v>
      </c>
      <c r="E164" s="147">
        <v>39979</v>
      </c>
      <c r="F164" s="142" t="s">
        <v>421</v>
      </c>
      <c r="G164" s="159">
        <v>1575</v>
      </c>
      <c r="H164" s="94"/>
      <c r="I164" s="94"/>
      <c r="J164" s="98"/>
      <c r="K164" s="118"/>
    </row>
    <row r="165" spans="1:11" ht="15.75" hidden="1" customHeight="1" x14ac:dyDescent="0.25">
      <c r="A165" s="93"/>
      <c r="B165" s="94" t="s">
        <v>395</v>
      </c>
      <c r="C165" s="100" t="s">
        <v>184</v>
      </c>
      <c r="D165" s="104" t="s">
        <v>186</v>
      </c>
      <c r="E165" s="105">
        <v>39979</v>
      </c>
      <c r="F165" s="145" t="s">
        <v>422</v>
      </c>
      <c r="G165" s="143">
        <v>1575</v>
      </c>
      <c r="H165" s="94"/>
      <c r="I165" s="94"/>
      <c r="J165" s="98"/>
      <c r="K165" s="118"/>
    </row>
    <row r="166" spans="1:11" ht="15.75" hidden="1" customHeight="1" x14ac:dyDescent="0.25">
      <c r="A166" s="93"/>
      <c r="B166" s="94" t="s">
        <v>395</v>
      </c>
      <c r="C166" s="100" t="s">
        <v>184</v>
      </c>
      <c r="D166" s="104" t="s">
        <v>186</v>
      </c>
      <c r="E166" s="105">
        <v>39979</v>
      </c>
      <c r="F166" s="145" t="s">
        <v>423</v>
      </c>
      <c r="G166" s="143">
        <v>1575</v>
      </c>
      <c r="H166" s="94"/>
      <c r="I166" s="94"/>
      <c r="J166" s="98"/>
      <c r="K166" s="118"/>
    </row>
    <row r="167" spans="1:11" ht="15.75" hidden="1" customHeight="1" x14ac:dyDescent="0.25">
      <c r="A167" s="93"/>
      <c r="B167" s="145" t="s">
        <v>395</v>
      </c>
      <c r="C167" s="100" t="s">
        <v>184</v>
      </c>
      <c r="D167" s="104" t="s">
        <v>186</v>
      </c>
      <c r="E167" s="105">
        <v>37637</v>
      </c>
      <c r="F167" s="145" t="s">
        <v>424</v>
      </c>
      <c r="G167" s="143">
        <v>1635</v>
      </c>
      <c r="H167" s="94"/>
      <c r="I167" s="94"/>
      <c r="J167" s="98"/>
      <c r="K167" s="118"/>
    </row>
    <row r="168" spans="1:11" ht="15" hidden="1" customHeight="1" x14ac:dyDescent="0.25">
      <c r="A168" s="129"/>
      <c r="B168" s="145" t="s">
        <v>395</v>
      </c>
      <c r="C168" s="100" t="s">
        <v>184</v>
      </c>
      <c r="D168" s="104" t="s">
        <v>186</v>
      </c>
      <c r="E168" s="105">
        <v>37637</v>
      </c>
      <c r="F168" s="145" t="s">
        <v>425</v>
      </c>
      <c r="G168" s="143">
        <v>1635</v>
      </c>
      <c r="H168" s="145"/>
      <c r="I168" s="145"/>
      <c r="J168" s="129"/>
      <c r="K168" s="165"/>
    </row>
    <row r="169" spans="1:11" ht="15" hidden="1" customHeight="1" x14ac:dyDescent="0.25">
      <c r="A169" s="129"/>
      <c r="B169" s="145" t="s">
        <v>395</v>
      </c>
      <c r="C169" s="100" t="s">
        <v>184</v>
      </c>
      <c r="D169" s="104" t="s">
        <v>186</v>
      </c>
      <c r="E169" s="105">
        <v>37637</v>
      </c>
      <c r="F169" s="145" t="s">
        <v>426</v>
      </c>
      <c r="G169" s="143">
        <v>1635</v>
      </c>
      <c r="H169" s="145"/>
      <c r="I169" s="145"/>
      <c r="J169" s="129"/>
      <c r="K169" s="165"/>
    </row>
    <row r="170" spans="1:11" ht="15.75" hidden="1" customHeight="1" x14ac:dyDescent="0.25">
      <c r="A170" s="93"/>
      <c r="B170" s="145" t="s">
        <v>395</v>
      </c>
      <c r="C170" s="100" t="s">
        <v>184</v>
      </c>
      <c r="D170" s="104" t="s">
        <v>186</v>
      </c>
      <c r="E170" s="105">
        <v>37637</v>
      </c>
      <c r="F170" s="145" t="s">
        <v>427</v>
      </c>
      <c r="G170" s="143">
        <v>1635</v>
      </c>
      <c r="H170" s="94"/>
      <c r="I170" s="94"/>
      <c r="J170" s="98"/>
      <c r="K170" s="118"/>
    </row>
    <row r="171" spans="1:11" ht="15" hidden="1" customHeight="1" x14ac:dyDescent="0.25">
      <c r="A171" s="129"/>
      <c r="B171" s="145" t="s">
        <v>428</v>
      </c>
      <c r="C171" s="100" t="s">
        <v>184</v>
      </c>
      <c r="D171" s="104" t="s">
        <v>186</v>
      </c>
      <c r="E171" s="105" t="s">
        <v>429</v>
      </c>
      <c r="F171" s="145" t="s">
        <v>430</v>
      </c>
      <c r="G171" s="160">
        <v>4000</v>
      </c>
      <c r="H171" s="145"/>
      <c r="I171" s="145"/>
      <c r="J171" s="129"/>
      <c r="K171" s="165"/>
    </row>
    <row r="172" spans="1:11" ht="15" hidden="1" customHeight="1" x14ac:dyDescent="0.25">
      <c r="A172" s="129"/>
      <c r="B172" s="142" t="s">
        <v>428</v>
      </c>
      <c r="C172" s="100" t="s">
        <v>184</v>
      </c>
      <c r="D172" s="104" t="s">
        <v>186</v>
      </c>
      <c r="E172" s="105">
        <v>42240</v>
      </c>
      <c r="F172" s="145" t="s">
        <v>431</v>
      </c>
      <c r="G172" s="141">
        <v>4000</v>
      </c>
      <c r="H172" s="145"/>
      <c r="I172" s="145"/>
      <c r="J172" s="129"/>
      <c r="K172" s="165"/>
    </row>
    <row r="173" spans="1:11" ht="15" hidden="1" customHeight="1" x14ac:dyDescent="0.25">
      <c r="A173" s="129"/>
      <c r="B173" s="99" t="s">
        <v>432</v>
      </c>
      <c r="C173" s="100" t="s">
        <v>184</v>
      </c>
      <c r="D173" s="104" t="s">
        <v>186</v>
      </c>
      <c r="E173" s="105">
        <v>39989</v>
      </c>
      <c r="F173" s="145" t="s">
        <v>433</v>
      </c>
      <c r="G173" s="141">
        <v>3450</v>
      </c>
      <c r="H173" s="145"/>
      <c r="I173" s="145"/>
      <c r="J173" s="129"/>
      <c r="K173" s="165"/>
    </row>
    <row r="174" spans="1:11" ht="15" hidden="1" customHeight="1" x14ac:dyDescent="0.25">
      <c r="A174" s="129"/>
      <c r="B174" s="142" t="s">
        <v>434</v>
      </c>
      <c r="C174" s="100" t="s">
        <v>184</v>
      </c>
      <c r="D174" s="104" t="s">
        <v>186</v>
      </c>
      <c r="E174" s="105">
        <v>40603</v>
      </c>
      <c r="F174" s="142" t="s">
        <v>435</v>
      </c>
      <c r="G174" s="161">
        <v>855</v>
      </c>
      <c r="H174" s="145"/>
      <c r="I174" s="145"/>
      <c r="J174" s="129"/>
      <c r="K174" s="165"/>
    </row>
    <row r="175" spans="1:11" ht="15" hidden="1" customHeight="1" x14ac:dyDescent="0.25">
      <c r="A175" s="129"/>
      <c r="B175" s="145" t="s">
        <v>436</v>
      </c>
      <c r="C175" s="100" t="s">
        <v>184</v>
      </c>
      <c r="D175" s="104" t="s">
        <v>186</v>
      </c>
      <c r="E175" s="105">
        <v>41089</v>
      </c>
      <c r="F175" s="145" t="s">
        <v>437</v>
      </c>
      <c r="G175" s="148">
        <v>3075</v>
      </c>
      <c r="H175" s="145"/>
      <c r="I175" s="145"/>
      <c r="J175" s="129"/>
      <c r="K175" s="165"/>
    </row>
    <row r="176" spans="1:11" ht="15" hidden="1" customHeight="1" x14ac:dyDescent="0.25">
      <c r="A176" s="129"/>
      <c r="B176" s="99" t="s">
        <v>432</v>
      </c>
      <c r="C176" s="100" t="s">
        <v>184</v>
      </c>
      <c r="D176" s="104" t="s">
        <v>186</v>
      </c>
      <c r="E176" s="105">
        <v>41458</v>
      </c>
      <c r="F176" s="145" t="s">
        <v>438</v>
      </c>
      <c r="G176" s="148">
        <v>4770</v>
      </c>
      <c r="H176" s="145"/>
      <c r="I176" s="145"/>
      <c r="J176" s="129"/>
      <c r="K176" s="165"/>
    </row>
    <row r="177" spans="1:11" ht="15" hidden="1" customHeight="1" x14ac:dyDescent="0.25">
      <c r="A177" s="129"/>
      <c r="B177" s="99" t="s">
        <v>432</v>
      </c>
      <c r="C177" s="100" t="s">
        <v>184</v>
      </c>
      <c r="D177" s="104" t="s">
        <v>186</v>
      </c>
      <c r="E177" s="105">
        <v>41830</v>
      </c>
      <c r="F177" s="145" t="s">
        <v>439</v>
      </c>
      <c r="G177" s="158">
        <v>3860</v>
      </c>
      <c r="H177" s="145"/>
      <c r="I177" s="145"/>
      <c r="J177" s="129"/>
      <c r="K177" s="165"/>
    </row>
    <row r="178" spans="1:11" ht="15" hidden="1" customHeight="1" x14ac:dyDescent="0.25">
      <c r="A178" s="129"/>
      <c r="B178" s="145" t="s">
        <v>440</v>
      </c>
      <c r="C178" s="100" t="s">
        <v>184</v>
      </c>
      <c r="D178" s="104" t="s">
        <v>186</v>
      </c>
      <c r="E178" s="105">
        <v>42137</v>
      </c>
      <c r="F178" s="145" t="s">
        <v>441</v>
      </c>
      <c r="G178" s="141">
        <v>2982</v>
      </c>
      <c r="H178" s="145"/>
      <c r="I178" s="145"/>
      <c r="J178" s="129"/>
      <c r="K178" s="165"/>
    </row>
    <row r="179" spans="1:11" ht="15" hidden="1" customHeight="1" x14ac:dyDescent="0.25">
      <c r="A179" s="129"/>
      <c r="B179" s="99" t="s">
        <v>434</v>
      </c>
      <c r="C179" s="100" t="s">
        <v>184</v>
      </c>
      <c r="D179" s="104" t="s">
        <v>186</v>
      </c>
      <c r="E179" s="105">
        <v>42137</v>
      </c>
      <c r="F179" s="145" t="s">
        <v>442</v>
      </c>
      <c r="G179" s="141">
        <v>2982</v>
      </c>
      <c r="H179" s="145"/>
      <c r="I179" s="145"/>
      <c r="J179" s="129"/>
      <c r="K179" s="165"/>
    </row>
    <row r="180" spans="1:11" ht="15" hidden="1" customHeight="1" x14ac:dyDescent="0.25">
      <c r="A180" s="129"/>
      <c r="B180" s="142" t="s">
        <v>440</v>
      </c>
      <c r="C180" s="100" t="s">
        <v>184</v>
      </c>
      <c r="D180" s="104" t="s">
        <v>186</v>
      </c>
      <c r="E180" s="105">
        <v>42137</v>
      </c>
      <c r="F180" s="142" t="s">
        <v>443</v>
      </c>
      <c r="G180" s="158">
        <v>2982</v>
      </c>
      <c r="H180" s="145"/>
      <c r="I180" s="145"/>
      <c r="J180" s="129"/>
      <c r="K180" s="165"/>
    </row>
    <row r="181" spans="1:11" ht="15" hidden="1" customHeight="1" x14ac:dyDescent="0.25">
      <c r="A181" s="129"/>
      <c r="B181" s="145" t="s">
        <v>444</v>
      </c>
      <c r="C181" s="100" t="s">
        <v>184</v>
      </c>
      <c r="D181" s="104" t="s">
        <v>186</v>
      </c>
      <c r="E181" s="105">
        <v>42137</v>
      </c>
      <c r="F181" s="145" t="s">
        <v>445</v>
      </c>
      <c r="G181" s="141">
        <v>7720</v>
      </c>
      <c r="H181" s="145"/>
      <c r="I181" s="145"/>
      <c r="J181" s="129"/>
      <c r="K181" s="165"/>
    </row>
    <row r="182" spans="1:11" ht="15" hidden="1" customHeight="1" x14ac:dyDescent="0.25">
      <c r="A182" s="129"/>
      <c r="B182" s="145" t="s">
        <v>434</v>
      </c>
      <c r="C182" s="100" t="s">
        <v>184</v>
      </c>
      <c r="D182" s="104" t="s">
        <v>186</v>
      </c>
      <c r="E182" s="105">
        <v>42240</v>
      </c>
      <c r="F182" s="145" t="s">
        <v>446</v>
      </c>
      <c r="G182" s="141">
        <v>2983</v>
      </c>
      <c r="H182" s="145"/>
      <c r="I182" s="145"/>
      <c r="J182" s="129"/>
      <c r="K182" s="165"/>
    </row>
    <row r="183" spans="1:11" ht="15" hidden="1" customHeight="1" x14ac:dyDescent="0.25">
      <c r="A183" s="129"/>
      <c r="B183" s="94" t="s">
        <v>447</v>
      </c>
      <c r="C183" s="100" t="s">
        <v>184</v>
      </c>
      <c r="D183" s="104" t="s">
        <v>186</v>
      </c>
      <c r="E183" s="105">
        <v>42240</v>
      </c>
      <c r="F183" s="145" t="s">
        <v>448</v>
      </c>
      <c r="G183" s="141">
        <v>2983</v>
      </c>
      <c r="H183" s="145"/>
      <c r="I183" s="145"/>
      <c r="J183" s="129"/>
      <c r="K183" s="165"/>
    </row>
    <row r="184" spans="1:11" ht="15" hidden="1" customHeight="1" x14ac:dyDescent="0.25">
      <c r="A184" s="129"/>
      <c r="B184" s="142" t="s">
        <v>440</v>
      </c>
      <c r="C184" s="100" t="s">
        <v>184</v>
      </c>
      <c r="D184" s="104" t="s">
        <v>186</v>
      </c>
      <c r="E184" s="105">
        <v>42240</v>
      </c>
      <c r="F184" s="142" t="s">
        <v>449</v>
      </c>
      <c r="G184" s="158">
        <v>2983</v>
      </c>
      <c r="H184" s="145"/>
      <c r="I184" s="145"/>
      <c r="J184" s="129"/>
      <c r="K184" s="165"/>
    </row>
    <row r="185" spans="1:11" ht="15" hidden="1" customHeight="1" x14ac:dyDescent="0.25">
      <c r="A185" s="129"/>
      <c r="B185" s="94" t="s">
        <v>440</v>
      </c>
      <c r="C185" s="100" t="s">
        <v>184</v>
      </c>
      <c r="D185" s="104" t="s">
        <v>186</v>
      </c>
      <c r="E185" s="105">
        <v>42240</v>
      </c>
      <c r="F185" s="142" t="s">
        <v>450</v>
      </c>
      <c r="G185" s="158">
        <v>2983</v>
      </c>
      <c r="H185" s="145"/>
      <c r="I185" s="145"/>
      <c r="J185" s="129"/>
      <c r="K185" s="165"/>
    </row>
    <row r="186" spans="1:11" ht="15" hidden="1" customHeight="1" x14ac:dyDescent="0.25">
      <c r="A186" s="129"/>
      <c r="B186" s="99" t="s">
        <v>451</v>
      </c>
      <c r="C186" s="100" t="s">
        <v>184</v>
      </c>
      <c r="D186" s="104" t="s">
        <v>186</v>
      </c>
      <c r="E186" s="105">
        <v>37529</v>
      </c>
      <c r="F186" s="142" t="s">
        <v>452</v>
      </c>
      <c r="G186" s="157">
        <v>3146</v>
      </c>
      <c r="H186" s="145"/>
      <c r="I186" s="145"/>
      <c r="J186" s="129"/>
      <c r="K186" s="165"/>
    </row>
    <row r="187" spans="1:11" ht="15" hidden="1" customHeight="1" x14ac:dyDescent="0.25">
      <c r="A187" s="129"/>
      <c r="B187" s="145" t="s">
        <v>453</v>
      </c>
      <c r="C187" s="100" t="s">
        <v>184</v>
      </c>
      <c r="D187" s="104" t="s">
        <v>186</v>
      </c>
      <c r="E187" s="105">
        <v>42725</v>
      </c>
      <c r="F187" s="145" t="s">
        <v>454</v>
      </c>
      <c r="G187" s="158">
        <v>4500</v>
      </c>
      <c r="H187" s="145"/>
      <c r="I187" s="145"/>
      <c r="J187" s="129"/>
      <c r="K187" s="165"/>
    </row>
    <row r="188" spans="1:11" ht="15" hidden="1" customHeight="1" x14ac:dyDescent="0.25">
      <c r="A188" s="129"/>
      <c r="B188" s="145" t="s">
        <v>434</v>
      </c>
      <c r="C188" s="100" t="s">
        <v>184</v>
      </c>
      <c r="D188" s="104" t="s">
        <v>186</v>
      </c>
      <c r="E188" s="105">
        <v>42725</v>
      </c>
      <c r="F188" s="145" t="s">
        <v>455</v>
      </c>
      <c r="G188" s="158">
        <v>2940</v>
      </c>
      <c r="H188" s="145"/>
      <c r="I188" s="145"/>
      <c r="J188" s="129"/>
      <c r="K188" s="165"/>
    </row>
    <row r="189" spans="1:11" ht="15" hidden="1" customHeight="1" x14ac:dyDescent="0.25">
      <c r="A189" s="129"/>
      <c r="B189" s="99" t="s">
        <v>434</v>
      </c>
      <c r="C189" s="100" t="s">
        <v>184</v>
      </c>
      <c r="D189" s="104" t="s">
        <v>186</v>
      </c>
      <c r="E189" s="105">
        <v>42843</v>
      </c>
      <c r="F189" s="145" t="s">
        <v>456</v>
      </c>
      <c r="G189" s="141">
        <v>3150</v>
      </c>
      <c r="H189" s="145"/>
      <c r="I189" s="145"/>
      <c r="J189" s="129"/>
      <c r="K189" s="165"/>
    </row>
    <row r="190" spans="1:11" ht="15" hidden="1" customHeight="1" x14ac:dyDescent="0.25">
      <c r="A190" s="129"/>
      <c r="B190" s="99" t="s">
        <v>457</v>
      </c>
      <c r="C190" s="100" t="s">
        <v>184</v>
      </c>
      <c r="D190" s="104" t="s">
        <v>186</v>
      </c>
      <c r="E190" s="105">
        <v>43410</v>
      </c>
      <c r="F190" s="145" t="s">
        <v>458</v>
      </c>
      <c r="G190" s="141">
        <v>4685</v>
      </c>
      <c r="H190" s="145"/>
      <c r="I190" s="145"/>
      <c r="J190" s="129"/>
      <c r="K190" s="165"/>
    </row>
    <row r="191" spans="1:11" ht="15" hidden="1" customHeight="1" x14ac:dyDescent="0.25">
      <c r="A191" s="129"/>
      <c r="B191" s="99" t="s">
        <v>459</v>
      </c>
      <c r="C191" s="100" t="s">
        <v>184</v>
      </c>
      <c r="D191" s="104" t="s">
        <v>186</v>
      </c>
      <c r="E191" s="105">
        <v>43300</v>
      </c>
      <c r="F191" s="145" t="s">
        <v>460</v>
      </c>
      <c r="G191" s="141">
        <v>3744</v>
      </c>
      <c r="H191" s="145"/>
      <c r="I191" s="145"/>
      <c r="J191" s="129"/>
      <c r="K191" s="165"/>
    </row>
    <row r="192" spans="1:11" ht="15" hidden="1" customHeight="1" x14ac:dyDescent="0.25">
      <c r="A192" s="129"/>
      <c r="B192" s="94" t="s">
        <v>459</v>
      </c>
      <c r="C192" s="100" t="s">
        <v>184</v>
      </c>
      <c r="D192" s="104" t="s">
        <v>186</v>
      </c>
      <c r="E192" s="105">
        <v>43300</v>
      </c>
      <c r="F192" s="145" t="s">
        <v>461</v>
      </c>
      <c r="G192" s="141">
        <v>3744</v>
      </c>
      <c r="H192" s="145"/>
      <c r="I192" s="145"/>
      <c r="J192" s="129"/>
      <c r="K192" s="165"/>
    </row>
    <row r="193" spans="1:11" ht="15" hidden="1" customHeight="1" x14ac:dyDescent="0.25">
      <c r="A193" s="129"/>
      <c r="B193" s="94" t="s">
        <v>462</v>
      </c>
      <c r="C193" s="100" t="s">
        <v>184</v>
      </c>
      <c r="D193" s="104" t="s">
        <v>186</v>
      </c>
      <c r="E193" s="105">
        <v>43445</v>
      </c>
      <c r="F193" s="145" t="s">
        <v>463</v>
      </c>
      <c r="G193" s="141">
        <v>8580</v>
      </c>
      <c r="H193" s="145"/>
      <c r="I193" s="145"/>
      <c r="J193" s="129"/>
      <c r="K193" s="165"/>
    </row>
    <row r="194" spans="1:11" ht="15" hidden="1" customHeight="1" x14ac:dyDescent="0.25">
      <c r="A194" s="129"/>
      <c r="B194" s="99" t="s">
        <v>464</v>
      </c>
      <c r="C194" s="100" t="s">
        <v>184</v>
      </c>
      <c r="D194" s="104" t="s">
        <v>186</v>
      </c>
      <c r="E194" s="105">
        <v>43614</v>
      </c>
      <c r="F194" s="145" t="s">
        <v>465</v>
      </c>
      <c r="G194" s="141">
        <v>5325</v>
      </c>
      <c r="H194" s="145"/>
      <c r="I194" s="145"/>
      <c r="J194" s="129"/>
      <c r="K194" s="165"/>
    </row>
    <row r="195" spans="1:11" ht="15.75" hidden="1" customHeight="1" x14ac:dyDescent="0.25">
      <c r="A195" s="93"/>
      <c r="B195" s="94" t="s">
        <v>466</v>
      </c>
      <c r="C195" s="100" t="s">
        <v>184</v>
      </c>
      <c r="D195" s="104" t="s">
        <v>186</v>
      </c>
      <c r="E195" s="149">
        <v>43403</v>
      </c>
      <c r="F195" s="145" t="s">
        <v>467</v>
      </c>
      <c r="G195" s="143">
        <v>2050</v>
      </c>
      <c r="H195" s="94"/>
      <c r="I195" s="94"/>
      <c r="J195" s="98"/>
      <c r="K195" s="118"/>
    </row>
    <row r="196" spans="1:11" ht="15.75" hidden="1" customHeight="1" x14ac:dyDescent="0.25">
      <c r="A196" s="93"/>
      <c r="B196" s="99" t="s">
        <v>468</v>
      </c>
      <c r="C196" s="100" t="s">
        <v>184</v>
      </c>
      <c r="D196" s="104" t="s">
        <v>186</v>
      </c>
      <c r="E196" s="105">
        <v>43717</v>
      </c>
      <c r="F196" s="145" t="s">
        <v>469</v>
      </c>
      <c r="G196" s="143">
        <v>3200</v>
      </c>
      <c r="H196" s="94"/>
      <c r="I196" s="94"/>
      <c r="J196" s="98"/>
      <c r="K196" s="118"/>
    </row>
    <row r="197" spans="1:11" ht="15.75" hidden="1" customHeight="1" x14ac:dyDescent="0.25">
      <c r="A197" s="93"/>
      <c r="B197" s="99" t="s">
        <v>470</v>
      </c>
      <c r="C197" s="100" t="s">
        <v>184</v>
      </c>
      <c r="D197" s="104" t="s">
        <v>186</v>
      </c>
      <c r="E197" s="105">
        <v>43712</v>
      </c>
      <c r="F197" s="145" t="s">
        <v>471</v>
      </c>
      <c r="G197" s="143">
        <v>1800</v>
      </c>
      <c r="H197" s="94"/>
      <c r="I197" s="94"/>
      <c r="J197" s="98"/>
      <c r="K197" s="118"/>
    </row>
    <row r="198" spans="1:11" ht="15.75" hidden="1" customHeight="1" x14ac:dyDescent="0.25">
      <c r="A198" s="93"/>
      <c r="B198" s="99" t="s">
        <v>472</v>
      </c>
      <c r="C198" s="100" t="s">
        <v>184</v>
      </c>
      <c r="D198" s="104" t="s">
        <v>186</v>
      </c>
      <c r="E198" s="105">
        <v>43908</v>
      </c>
      <c r="F198" s="145" t="s">
        <v>473</v>
      </c>
      <c r="G198" s="143"/>
      <c r="H198" s="94"/>
      <c r="I198" s="94"/>
      <c r="J198" s="98"/>
      <c r="K198" s="118"/>
    </row>
    <row r="199" spans="1:11" ht="15.75" hidden="1" customHeight="1" x14ac:dyDescent="0.25">
      <c r="A199" s="93"/>
      <c r="B199" s="99" t="s">
        <v>474</v>
      </c>
      <c r="C199" s="100" t="s">
        <v>184</v>
      </c>
      <c r="D199" s="104" t="s">
        <v>186</v>
      </c>
      <c r="E199" s="105">
        <v>43908</v>
      </c>
      <c r="F199" s="145" t="s">
        <v>475</v>
      </c>
      <c r="G199" s="143"/>
      <c r="H199" s="94"/>
      <c r="I199" s="94"/>
      <c r="J199" s="98"/>
      <c r="K199" s="118"/>
    </row>
    <row r="200" spans="1:11" ht="15.75" hidden="1" customHeight="1" x14ac:dyDescent="0.25">
      <c r="A200" s="93"/>
      <c r="B200" s="99" t="s">
        <v>476</v>
      </c>
      <c r="C200" s="100" t="s">
        <v>184</v>
      </c>
      <c r="D200" s="104" t="s">
        <v>186</v>
      </c>
      <c r="E200" s="105">
        <v>39975</v>
      </c>
      <c r="F200" s="145" t="s">
        <v>477</v>
      </c>
      <c r="G200" s="143">
        <v>1200</v>
      </c>
      <c r="H200" s="94"/>
      <c r="I200" s="94"/>
      <c r="J200" s="98"/>
      <c r="K200" s="118"/>
    </row>
    <row r="201" spans="1:11" ht="15.75" hidden="1" customHeight="1" x14ac:dyDescent="0.25">
      <c r="A201" s="93"/>
      <c r="B201" s="99" t="s">
        <v>476</v>
      </c>
      <c r="C201" s="100" t="s">
        <v>184</v>
      </c>
      <c r="D201" s="104" t="s">
        <v>186</v>
      </c>
      <c r="E201" s="105">
        <v>39975</v>
      </c>
      <c r="F201" s="145" t="s">
        <v>478</v>
      </c>
      <c r="G201" s="143">
        <v>1200</v>
      </c>
      <c r="H201" s="94"/>
      <c r="I201" s="94"/>
      <c r="J201" s="98"/>
      <c r="K201" s="118"/>
    </row>
    <row r="202" spans="1:11" ht="15.75" hidden="1" customHeight="1" x14ac:dyDescent="0.25">
      <c r="A202" s="93"/>
      <c r="B202" s="99" t="s">
        <v>479</v>
      </c>
      <c r="C202" s="100" t="s">
        <v>184</v>
      </c>
      <c r="D202" s="104" t="s">
        <v>186</v>
      </c>
      <c r="E202" s="105">
        <v>37637</v>
      </c>
      <c r="F202" s="145" t="s">
        <v>480</v>
      </c>
      <c r="G202" s="143">
        <v>535</v>
      </c>
      <c r="H202" s="94"/>
      <c r="I202" s="94"/>
      <c r="J202" s="98"/>
      <c r="K202" s="118"/>
    </row>
    <row r="203" spans="1:11" ht="15.75" hidden="1" customHeight="1" x14ac:dyDescent="0.25">
      <c r="A203" s="93"/>
      <c r="B203" s="99" t="s">
        <v>479</v>
      </c>
      <c r="C203" s="100" t="s">
        <v>184</v>
      </c>
      <c r="D203" s="104" t="s">
        <v>186</v>
      </c>
      <c r="E203" s="105">
        <v>37637</v>
      </c>
      <c r="F203" s="145" t="s">
        <v>481</v>
      </c>
      <c r="G203" s="143">
        <v>535</v>
      </c>
      <c r="H203" s="94"/>
      <c r="I203" s="94"/>
      <c r="J203" s="98"/>
      <c r="K203" s="118"/>
    </row>
    <row r="204" spans="1:11" ht="15.75" hidden="1" customHeight="1" x14ac:dyDescent="0.25">
      <c r="A204" s="93"/>
      <c r="B204" s="99" t="s">
        <v>479</v>
      </c>
      <c r="C204" s="100" t="s">
        <v>184</v>
      </c>
      <c r="D204" s="104" t="s">
        <v>186</v>
      </c>
      <c r="E204" s="105">
        <v>37637</v>
      </c>
      <c r="F204" s="145" t="s">
        <v>482</v>
      </c>
      <c r="G204" s="143">
        <v>535</v>
      </c>
      <c r="H204" s="94"/>
      <c r="I204" s="94"/>
      <c r="J204" s="98"/>
      <c r="K204" s="118"/>
    </row>
    <row r="205" spans="1:11" ht="15.75" hidden="1" customHeight="1" x14ac:dyDescent="0.25">
      <c r="A205" s="93"/>
      <c r="B205" s="99" t="s">
        <v>479</v>
      </c>
      <c r="C205" s="100" t="s">
        <v>184</v>
      </c>
      <c r="D205" s="104" t="s">
        <v>186</v>
      </c>
      <c r="E205" s="105">
        <v>37637</v>
      </c>
      <c r="F205" s="145" t="s">
        <v>483</v>
      </c>
      <c r="G205" s="143">
        <v>535</v>
      </c>
      <c r="H205" s="94"/>
      <c r="I205" s="94"/>
      <c r="J205" s="98"/>
      <c r="K205" s="118"/>
    </row>
    <row r="206" spans="1:11" ht="15" hidden="1" customHeight="1" x14ac:dyDescent="0.25">
      <c r="A206" s="129" t="s">
        <v>484</v>
      </c>
      <c r="B206" s="145"/>
      <c r="C206" s="145"/>
      <c r="D206" s="145"/>
      <c r="E206" s="105"/>
      <c r="F206" s="145"/>
      <c r="G206" s="143"/>
      <c r="H206" s="145"/>
      <c r="I206" s="145"/>
      <c r="J206" s="129"/>
      <c r="K206" s="165"/>
    </row>
    <row r="207" spans="1:11" ht="15" hidden="1" customHeight="1" x14ac:dyDescent="0.25">
      <c r="A207" s="129"/>
      <c r="B207" s="99" t="s">
        <v>485</v>
      </c>
      <c r="C207" s="100" t="s">
        <v>184</v>
      </c>
      <c r="D207" s="104" t="s">
        <v>186</v>
      </c>
      <c r="E207" s="105">
        <v>43495</v>
      </c>
      <c r="F207" s="145" t="s">
        <v>486</v>
      </c>
      <c r="G207" s="143">
        <v>1900</v>
      </c>
      <c r="H207" s="145"/>
      <c r="I207" s="145"/>
      <c r="J207" s="129"/>
      <c r="K207" s="165"/>
    </row>
    <row r="208" spans="1:11" ht="15" hidden="1" customHeight="1" x14ac:dyDescent="0.25">
      <c r="A208" s="129"/>
      <c r="B208" s="99" t="s">
        <v>485</v>
      </c>
      <c r="C208" s="100" t="s">
        <v>184</v>
      </c>
      <c r="D208" s="104" t="s">
        <v>186</v>
      </c>
      <c r="E208" s="105">
        <v>43495</v>
      </c>
      <c r="F208" s="145" t="s">
        <v>487</v>
      </c>
      <c r="G208" s="143">
        <v>1900</v>
      </c>
      <c r="H208" s="145"/>
      <c r="I208" s="145"/>
      <c r="J208" s="129"/>
      <c r="K208" s="165"/>
    </row>
    <row r="209" spans="1:11" ht="15" hidden="1" customHeight="1" x14ac:dyDescent="0.25">
      <c r="A209" s="129" t="s">
        <v>488</v>
      </c>
      <c r="B209" s="145"/>
      <c r="C209" s="145"/>
      <c r="D209" s="145"/>
      <c r="E209" s="105"/>
      <c r="F209" s="145"/>
      <c r="G209" s="143"/>
      <c r="H209" s="145"/>
      <c r="I209" s="145"/>
      <c r="J209" s="129"/>
      <c r="K209" s="165"/>
    </row>
    <row r="210" spans="1:11" ht="30" hidden="1" customHeight="1" x14ac:dyDescent="0.25">
      <c r="A210" s="129"/>
      <c r="B210" s="99" t="s">
        <v>489</v>
      </c>
      <c r="C210" s="100" t="s">
        <v>184</v>
      </c>
      <c r="D210" s="104" t="s">
        <v>186</v>
      </c>
      <c r="E210" s="105">
        <v>39210</v>
      </c>
      <c r="F210" s="145" t="s">
        <v>490</v>
      </c>
      <c r="G210" s="143">
        <v>2749.75</v>
      </c>
      <c r="H210" s="145"/>
      <c r="I210" s="145"/>
      <c r="J210" s="129"/>
      <c r="K210" s="165"/>
    </row>
    <row r="211" spans="1:11" ht="15" hidden="1" customHeight="1" x14ac:dyDescent="0.25">
      <c r="A211" s="129"/>
      <c r="B211" s="99" t="s">
        <v>491</v>
      </c>
      <c r="C211" s="100" t="s">
        <v>184</v>
      </c>
      <c r="D211" s="104" t="s">
        <v>186</v>
      </c>
      <c r="E211" s="105">
        <v>39210</v>
      </c>
      <c r="F211" s="145" t="s">
        <v>492</v>
      </c>
      <c r="G211" s="143">
        <v>2417</v>
      </c>
      <c r="H211" s="145"/>
      <c r="I211" s="145"/>
      <c r="J211" s="129"/>
      <c r="K211" s="165"/>
    </row>
    <row r="212" spans="1:11" ht="15" hidden="1" customHeight="1" x14ac:dyDescent="0.25">
      <c r="A212" s="129"/>
      <c r="B212" s="99" t="s">
        <v>493</v>
      </c>
      <c r="C212" s="100" t="s">
        <v>184</v>
      </c>
      <c r="D212" s="104" t="s">
        <v>186</v>
      </c>
      <c r="E212" s="105">
        <v>39105</v>
      </c>
      <c r="F212" s="145" t="s">
        <v>494</v>
      </c>
      <c r="G212" s="143">
        <v>1100.75</v>
      </c>
      <c r="H212" s="145"/>
      <c r="I212" s="145"/>
      <c r="J212" s="129"/>
      <c r="K212" s="165"/>
    </row>
    <row r="213" spans="1:11" ht="15" hidden="1" customHeight="1" x14ac:dyDescent="0.25">
      <c r="A213" s="129"/>
      <c r="B213" s="99" t="s">
        <v>495</v>
      </c>
      <c r="C213" s="100" t="s">
        <v>184</v>
      </c>
      <c r="D213" s="104" t="s">
        <v>186</v>
      </c>
      <c r="E213" s="105">
        <v>40149</v>
      </c>
      <c r="F213" s="145" t="s">
        <v>496</v>
      </c>
      <c r="G213" s="143">
        <v>2996</v>
      </c>
      <c r="H213" s="145"/>
      <c r="I213" s="145"/>
      <c r="J213" s="129"/>
      <c r="K213" s="165"/>
    </row>
    <row r="214" spans="1:11" ht="15" hidden="1" customHeight="1" x14ac:dyDescent="0.25">
      <c r="A214" s="129"/>
      <c r="B214" s="99" t="s">
        <v>497</v>
      </c>
      <c r="C214" s="100" t="s">
        <v>184</v>
      </c>
      <c r="D214" s="104" t="s">
        <v>186</v>
      </c>
      <c r="E214" s="105">
        <v>40809</v>
      </c>
      <c r="F214" s="145" t="s">
        <v>498</v>
      </c>
      <c r="G214" s="143">
        <v>3486</v>
      </c>
      <c r="H214" s="145"/>
      <c r="I214" s="145"/>
      <c r="J214" s="129"/>
      <c r="K214" s="165"/>
    </row>
    <row r="215" spans="1:11" ht="15" hidden="1" customHeight="1" x14ac:dyDescent="0.25">
      <c r="A215" s="129"/>
      <c r="B215" s="99" t="s">
        <v>499</v>
      </c>
      <c r="C215" s="100" t="s">
        <v>184</v>
      </c>
      <c r="D215" s="104" t="s">
        <v>186</v>
      </c>
      <c r="E215" s="105">
        <v>40809</v>
      </c>
      <c r="F215" s="145" t="s">
        <v>500</v>
      </c>
      <c r="G215" s="143">
        <v>4800</v>
      </c>
      <c r="H215" s="145"/>
      <c r="I215" s="145"/>
      <c r="J215" s="129"/>
      <c r="K215" s="165"/>
    </row>
    <row r="216" spans="1:11" ht="15" hidden="1" customHeight="1" x14ac:dyDescent="0.25">
      <c r="A216" s="129"/>
      <c r="B216" s="99" t="s">
        <v>501</v>
      </c>
      <c r="C216" s="100" t="s">
        <v>184</v>
      </c>
      <c r="D216" s="104" t="s">
        <v>186</v>
      </c>
      <c r="E216" s="105">
        <v>41538</v>
      </c>
      <c r="F216" s="145" t="s">
        <v>502</v>
      </c>
      <c r="G216" s="143">
        <v>1342</v>
      </c>
      <c r="H216" s="145"/>
      <c r="I216" s="145"/>
      <c r="J216" s="129"/>
      <c r="K216" s="165"/>
    </row>
    <row r="217" spans="1:11" ht="15" hidden="1" customHeight="1" x14ac:dyDescent="0.25">
      <c r="A217" s="129"/>
      <c r="B217" s="99" t="s">
        <v>503</v>
      </c>
      <c r="C217" s="100" t="s">
        <v>184</v>
      </c>
      <c r="D217" s="104" t="s">
        <v>186</v>
      </c>
      <c r="E217" s="105">
        <v>41538</v>
      </c>
      <c r="F217" s="145" t="s">
        <v>504</v>
      </c>
      <c r="G217" s="143">
        <v>2662</v>
      </c>
      <c r="H217" s="145"/>
      <c r="I217" s="145"/>
      <c r="J217" s="129"/>
      <c r="K217" s="165"/>
    </row>
    <row r="218" spans="1:11" ht="15" hidden="1" customHeight="1" x14ac:dyDescent="0.25">
      <c r="A218" s="129"/>
      <c r="B218" s="99" t="s">
        <v>503</v>
      </c>
      <c r="C218" s="100" t="s">
        <v>184</v>
      </c>
      <c r="D218" s="104" t="s">
        <v>186</v>
      </c>
      <c r="E218" s="105">
        <v>41538</v>
      </c>
      <c r="F218" s="145" t="s">
        <v>505</v>
      </c>
      <c r="G218" s="143">
        <v>2662</v>
      </c>
      <c r="H218" s="145"/>
      <c r="I218" s="145"/>
      <c r="J218" s="129"/>
      <c r="K218" s="165"/>
    </row>
    <row r="219" spans="1:11" ht="15" hidden="1" customHeight="1" x14ac:dyDescent="0.25">
      <c r="A219" s="129"/>
      <c r="B219" s="99" t="s">
        <v>506</v>
      </c>
      <c r="C219" s="100" t="s">
        <v>184</v>
      </c>
      <c r="D219" s="104" t="s">
        <v>186</v>
      </c>
      <c r="E219" s="105">
        <v>42140</v>
      </c>
      <c r="F219" s="145" t="s">
        <v>507</v>
      </c>
      <c r="G219" s="143">
        <v>4620</v>
      </c>
      <c r="H219" s="145"/>
      <c r="I219" s="145"/>
      <c r="J219" s="129"/>
      <c r="K219" s="165"/>
    </row>
    <row r="220" spans="1:11" ht="15" hidden="1" customHeight="1" x14ac:dyDescent="0.25">
      <c r="A220" s="129" t="s">
        <v>508</v>
      </c>
      <c r="B220" s="145"/>
      <c r="C220" s="100" t="s">
        <v>184</v>
      </c>
      <c r="D220" s="104" t="s">
        <v>186</v>
      </c>
      <c r="E220" s="105"/>
      <c r="F220" s="145"/>
      <c r="G220" s="143"/>
      <c r="H220" s="145"/>
      <c r="I220" s="145"/>
      <c r="J220" s="129"/>
      <c r="K220" s="165"/>
    </row>
    <row r="221" spans="1:11" ht="15" hidden="1" customHeight="1" x14ac:dyDescent="0.25">
      <c r="A221" s="129"/>
      <c r="B221" s="99" t="s">
        <v>509</v>
      </c>
      <c r="C221" s="100" t="s">
        <v>184</v>
      </c>
      <c r="D221" s="104" t="s">
        <v>186</v>
      </c>
      <c r="E221" s="105">
        <v>39660</v>
      </c>
      <c r="F221" s="145" t="s">
        <v>510</v>
      </c>
      <c r="G221" s="143">
        <v>6800</v>
      </c>
      <c r="H221" s="145"/>
      <c r="I221" s="145"/>
      <c r="J221" s="129"/>
      <c r="K221" s="165"/>
    </row>
    <row r="222" spans="1:11" ht="15" hidden="1" customHeight="1" x14ac:dyDescent="0.25">
      <c r="A222" s="129" t="s">
        <v>138</v>
      </c>
      <c r="B222" s="145"/>
      <c r="C222" s="145"/>
      <c r="D222" s="145"/>
      <c r="E222" s="105"/>
      <c r="F222" s="145"/>
      <c r="G222" s="143"/>
      <c r="H222" s="145"/>
      <c r="I222" s="145"/>
      <c r="J222" s="129"/>
      <c r="K222" s="165"/>
    </row>
    <row r="223" spans="1:11" ht="15" hidden="1" customHeight="1" x14ac:dyDescent="0.25">
      <c r="A223" s="129"/>
      <c r="B223" s="145" t="s">
        <v>511</v>
      </c>
      <c r="C223" s="145"/>
      <c r="D223" s="145"/>
      <c r="E223" s="105">
        <v>39506</v>
      </c>
      <c r="F223" s="145" t="s">
        <v>512</v>
      </c>
      <c r="G223" s="143">
        <v>1493</v>
      </c>
      <c r="H223" s="145"/>
      <c r="I223" s="145"/>
      <c r="J223" s="129"/>
      <c r="K223" s="165"/>
    </row>
    <row r="224" spans="1:11" ht="30" hidden="1" customHeight="1" x14ac:dyDescent="0.25">
      <c r="A224" s="129"/>
      <c r="B224" s="94" t="s">
        <v>513</v>
      </c>
      <c r="C224" s="100" t="s">
        <v>184</v>
      </c>
      <c r="D224" s="104" t="s">
        <v>186</v>
      </c>
      <c r="E224" s="149">
        <v>43692</v>
      </c>
      <c r="F224" s="145" t="s">
        <v>514</v>
      </c>
      <c r="G224" s="143">
        <v>5600</v>
      </c>
      <c r="H224" s="145"/>
      <c r="I224" s="145"/>
      <c r="J224" s="129"/>
      <c r="K224" s="165"/>
    </row>
    <row r="225" spans="1:11" ht="30" hidden="1" customHeight="1" x14ac:dyDescent="0.25">
      <c r="A225" s="129"/>
      <c r="B225" s="94" t="s">
        <v>513</v>
      </c>
      <c r="C225" s="100" t="s">
        <v>184</v>
      </c>
      <c r="D225" s="104" t="s">
        <v>186</v>
      </c>
      <c r="E225" s="149">
        <v>43692</v>
      </c>
      <c r="F225" s="145" t="s">
        <v>515</v>
      </c>
      <c r="G225" s="143">
        <v>5600</v>
      </c>
      <c r="H225" s="145"/>
      <c r="I225" s="145"/>
      <c r="J225" s="129"/>
      <c r="K225" s="165"/>
    </row>
    <row r="226" spans="1:11" ht="15.75" hidden="1" customHeight="1" x14ac:dyDescent="0.25">
      <c r="A226" s="93"/>
      <c r="B226" s="99" t="s">
        <v>516</v>
      </c>
      <c r="C226" s="100" t="s">
        <v>184</v>
      </c>
      <c r="D226" s="104" t="s">
        <v>186</v>
      </c>
      <c r="E226" s="105">
        <v>39963</v>
      </c>
      <c r="F226" s="145" t="s">
        <v>517</v>
      </c>
      <c r="G226" s="143">
        <v>8250</v>
      </c>
      <c r="H226" s="94"/>
      <c r="I226" s="94"/>
      <c r="J226" s="98"/>
      <c r="K226" s="118"/>
    </row>
    <row r="227" spans="1:11" ht="15.75" hidden="1" customHeight="1" x14ac:dyDescent="0.25">
      <c r="A227" s="93"/>
      <c r="B227" s="94" t="s">
        <v>518</v>
      </c>
      <c r="C227" s="100" t="s">
        <v>184</v>
      </c>
      <c r="D227" s="104" t="s">
        <v>186</v>
      </c>
      <c r="E227" s="105">
        <v>37673</v>
      </c>
      <c r="F227" s="142" t="s">
        <v>519</v>
      </c>
      <c r="G227" s="143">
        <v>4500</v>
      </c>
      <c r="H227" s="94"/>
      <c r="I227" s="94"/>
      <c r="J227" s="98"/>
      <c r="K227" s="118"/>
    </row>
    <row r="228" spans="1:11" ht="15.75" hidden="1" customHeight="1" x14ac:dyDescent="0.25">
      <c r="A228" s="93"/>
      <c r="B228" s="99" t="s">
        <v>516</v>
      </c>
      <c r="C228" s="100" t="s">
        <v>184</v>
      </c>
      <c r="D228" s="104" t="s">
        <v>186</v>
      </c>
      <c r="E228" s="105">
        <v>39963</v>
      </c>
      <c r="F228" s="145" t="s">
        <v>520</v>
      </c>
      <c r="G228" s="143">
        <v>8250</v>
      </c>
      <c r="H228" s="94"/>
      <c r="I228" s="94"/>
      <c r="J228" s="98"/>
      <c r="K228" s="118"/>
    </row>
    <row r="229" spans="1:11" ht="15.75" hidden="1" customHeight="1" x14ac:dyDescent="0.25">
      <c r="A229" s="93"/>
      <c r="B229" s="99" t="s">
        <v>516</v>
      </c>
      <c r="C229" s="100" t="s">
        <v>184</v>
      </c>
      <c r="D229" s="104" t="s">
        <v>186</v>
      </c>
      <c r="E229" s="105">
        <v>37711</v>
      </c>
      <c r="F229" s="145" t="s">
        <v>521</v>
      </c>
      <c r="G229" s="143">
        <v>3990</v>
      </c>
      <c r="H229" s="94"/>
      <c r="I229" s="94"/>
      <c r="J229" s="98"/>
      <c r="K229" s="118"/>
    </row>
    <row r="230" spans="1:11" ht="15" hidden="1" customHeight="1" x14ac:dyDescent="0.25">
      <c r="A230" s="129"/>
      <c r="B230" s="99" t="s">
        <v>522</v>
      </c>
      <c r="C230" s="100" t="s">
        <v>184</v>
      </c>
      <c r="D230" s="104" t="s">
        <v>186</v>
      </c>
      <c r="E230" s="105">
        <v>38079</v>
      </c>
      <c r="F230" s="145" t="s">
        <v>523</v>
      </c>
      <c r="G230" s="143">
        <v>4145</v>
      </c>
      <c r="H230" s="145"/>
      <c r="I230" s="145"/>
      <c r="J230" s="129"/>
      <c r="K230" s="165"/>
    </row>
    <row r="231" spans="1:11" ht="15.75" hidden="1" customHeight="1" x14ac:dyDescent="0.25">
      <c r="A231" s="93"/>
      <c r="B231" s="145" t="s">
        <v>524</v>
      </c>
      <c r="C231" s="100" t="s">
        <v>184</v>
      </c>
      <c r="D231" s="104" t="s">
        <v>186</v>
      </c>
      <c r="E231" s="105">
        <v>39962</v>
      </c>
      <c r="F231" s="145" t="s">
        <v>525</v>
      </c>
      <c r="G231" s="143">
        <v>8250</v>
      </c>
      <c r="H231" s="94"/>
      <c r="I231" s="94"/>
      <c r="J231" s="98"/>
      <c r="K231" s="118"/>
    </row>
    <row r="232" spans="1:11" ht="15.75" hidden="1" customHeight="1" x14ac:dyDescent="0.25">
      <c r="A232" s="93"/>
      <c r="B232" s="99" t="s">
        <v>516</v>
      </c>
      <c r="C232" s="100" t="s">
        <v>184</v>
      </c>
      <c r="D232" s="104" t="s">
        <v>186</v>
      </c>
      <c r="E232" s="105">
        <v>39962</v>
      </c>
      <c r="F232" s="145" t="s">
        <v>526</v>
      </c>
      <c r="G232" s="146">
        <v>8250</v>
      </c>
      <c r="H232" s="94"/>
      <c r="I232" s="94"/>
      <c r="J232" s="98"/>
      <c r="K232" s="118"/>
    </row>
    <row r="233" spans="1:11" ht="15.75" hidden="1" customHeight="1" x14ac:dyDescent="0.25">
      <c r="A233" s="93"/>
      <c r="B233" s="99" t="s">
        <v>527</v>
      </c>
      <c r="C233" s="100" t="s">
        <v>184</v>
      </c>
      <c r="D233" s="104" t="s">
        <v>186</v>
      </c>
      <c r="E233" s="105">
        <v>39963</v>
      </c>
      <c r="F233" s="145" t="s">
        <v>528</v>
      </c>
      <c r="G233" s="143">
        <v>8250</v>
      </c>
      <c r="H233" s="94"/>
      <c r="I233" s="94"/>
      <c r="J233" s="98"/>
      <c r="K233" s="118"/>
    </row>
    <row r="234" spans="1:11" ht="15" hidden="1" customHeight="1" x14ac:dyDescent="0.25">
      <c r="A234" s="129"/>
      <c r="B234" s="99" t="s">
        <v>516</v>
      </c>
      <c r="C234" s="100" t="s">
        <v>184</v>
      </c>
      <c r="D234" s="104" t="s">
        <v>186</v>
      </c>
      <c r="E234" s="105">
        <v>38236</v>
      </c>
      <c r="F234" s="145" t="s">
        <v>529</v>
      </c>
      <c r="G234" s="143">
        <v>4339</v>
      </c>
      <c r="H234" s="145"/>
      <c r="I234" s="145"/>
      <c r="J234" s="129"/>
      <c r="K234" s="165"/>
    </row>
    <row r="235" spans="1:11" ht="15" hidden="1" customHeight="1" x14ac:dyDescent="0.25">
      <c r="A235" s="129"/>
      <c r="B235" s="99" t="s">
        <v>516</v>
      </c>
      <c r="C235" s="100" t="s">
        <v>184</v>
      </c>
      <c r="D235" s="104" t="s">
        <v>186</v>
      </c>
      <c r="E235" s="105">
        <v>40196</v>
      </c>
      <c r="F235" s="145" t="s">
        <v>530</v>
      </c>
      <c r="G235" s="143">
        <v>8500</v>
      </c>
      <c r="H235" s="145"/>
      <c r="I235" s="145"/>
      <c r="J235" s="129"/>
      <c r="K235" s="165"/>
    </row>
    <row r="236" spans="1:11" ht="15.75" hidden="1" customHeight="1" x14ac:dyDescent="0.25">
      <c r="A236" s="93"/>
      <c r="B236" s="99" t="s">
        <v>531</v>
      </c>
      <c r="C236" s="100" t="s">
        <v>184</v>
      </c>
      <c r="D236" s="104" t="s">
        <v>186</v>
      </c>
      <c r="E236" s="105">
        <v>39963</v>
      </c>
      <c r="F236" s="145" t="s">
        <v>532</v>
      </c>
      <c r="G236" s="143">
        <v>8250</v>
      </c>
      <c r="H236" s="94"/>
      <c r="I236" s="94"/>
      <c r="J236" s="98"/>
      <c r="K236" s="118"/>
    </row>
    <row r="237" spans="1:11" ht="15.75" hidden="1" customHeight="1" x14ac:dyDescent="0.25">
      <c r="A237" s="93"/>
      <c r="B237" s="99" t="s">
        <v>533</v>
      </c>
      <c r="C237" s="100" t="s">
        <v>184</v>
      </c>
      <c r="D237" s="104" t="s">
        <v>186</v>
      </c>
      <c r="E237" s="105">
        <v>38236</v>
      </c>
      <c r="F237" s="145" t="s">
        <v>534</v>
      </c>
      <c r="G237" s="143">
        <v>4339</v>
      </c>
      <c r="H237" s="94"/>
      <c r="I237" s="94"/>
      <c r="J237" s="98"/>
      <c r="K237" s="118"/>
    </row>
    <row r="238" spans="1:11" ht="15.75" hidden="1" customHeight="1" x14ac:dyDescent="0.25">
      <c r="A238" s="93"/>
      <c r="B238" s="99" t="s">
        <v>535</v>
      </c>
      <c r="C238" s="100" t="s">
        <v>184</v>
      </c>
      <c r="D238" s="104" t="s">
        <v>186</v>
      </c>
      <c r="E238" s="105">
        <v>38260</v>
      </c>
      <c r="F238" s="145" t="s">
        <v>536</v>
      </c>
      <c r="G238" s="143">
        <v>4339</v>
      </c>
      <c r="H238" s="94"/>
      <c r="I238" s="94"/>
      <c r="J238" s="98"/>
      <c r="K238" s="118"/>
    </row>
    <row r="239" spans="1:11" ht="15" hidden="1" customHeight="1" x14ac:dyDescent="0.25">
      <c r="A239" s="129"/>
      <c r="B239" s="99" t="s">
        <v>516</v>
      </c>
      <c r="C239" s="100" t="s">
        <v>184</v>
      </c>
      <c r="D239" s="104" t="s">
        <v>186</v>
      </c>
      <c r="E239" s="105">
        <v>40196</v>
      </c>
      <c r="F239" s="145" t="s">
        <v>537</v>
      </c>
      <c r="G239" s="143">
        <v>8500</v>
      </c>
      <c r="H239" s="145"/>
      <c r="I239" s="145"/>
      <c r="J239" s="129"/>
      <c r="K239" s="165"/>
    </row>
    <row r="240" spans="1:11" ht="15" hidden="1" customHeight="1" x14ac:dyDescent="0.25">
      <c r="A240" s="129"/>
      <c r="B240" s="99" t="s">
        <v>518</v>
      </c>
      <c r="C240" s="100" t="s">
        <v>184</v>
      </c>
      <c r="D240" s="104" t="s">
        <v>186</v>
      </c>
      <c r="E240" s="105">
        <v>38236</v>
      </c>
      <c r="F240" s="145" t="s">
        <v>538</v>
      </c>
      <c r="G240" s="143">
        <v>4339</v>
      </c>
      <c r="H240" s="145"/>
      <c r="I240" s="145"/>
      <c r="J240" s="129"/>
      <c r="K240" s="165"/>
    </row>
    <row r="241" spans="1:11" ht="15.75" hidden="1" customHeight="1" x14ac:dyDescent="0.25">
      <c r="A241" s="93"/>
      <c r="B241" s="99" t="s">
        <v>539</v>
      </c>
      <c r="C241" s="100" t="s">
        <v>184</v>
      </c>
      <c r="D241" s="104" t="s">
        <v>186</v>
      </c>
      <c r="E241" s="105">
        <v>40533</v>
      </c>
      <c r="F241" s="142" t="s">
        <v>540</v>
      </c>
      <c r="G241" s="146">
        <v>6890</v>
      </c>
      <c r="H241" s="94"/>
      <c r="I241" s="94"/>
      <c r="J241" s="98"/>
      <c r="K241" s="118"/>
    </row>
    <row r="242" spans="1:11" ht="15.75" hidden="1" customHeight="1" x14ac:dyDescent="0.25">
      <c r="A242" s="93"/>
      <c r="B242" s="142" t="s">
        <v>524</v>
      </c>
      <c r="C242" s="100" t="s">
        <v>184</v>
      </c>
      <c r="D242" s="104" t="s">
        <v>186</v>
      </c>
      <c r="E242" s="147">
        <v>40896</v>
      </c>
      <c r="F242" s="142" t="s">
        <v>541</v>
      </c>
      <c r="G242" s="159">
        <v>9200</v>
      </c>
      <c r="H242" s="94"/>
      <c r="I242" s="94"/>
      <c r="J242" s="98"/>
      <c r="K242" s="118"/>
    </row>
    <row r="243" spans="1:11" ht="15.75" hidden="1" customHeight="1" x14ac:dyDescent="0.25">
      <c r="A243" s="93"/>
      <c r="B243" s="99" t="s">
        <v>535</v>
      </c>
      <c r="C243" s="100" t="s">
        <v>184</v>
      </c>
      <c r="D243" s="104" t="s">
        <v>186</v>
      </c>
      <c r="E243" s="105">
        <v>38236</v>
      </c>
      <c r="F243" s="145" t="s">
        <v>542</v>
      </c>
      <c r="G243" s="143">
        <v>4339</v>
      </c>
      <c r="H243" s="94"/>
      <c r="I243" s="94"/>
      <c r="J243" s="98"/>
      <c r="K243" s="118"/>
    </row>
    <row r="244" spans="1:11" ht="15.75" hidden="1" customHeight="1" x14ac:dyDescent="0.25">
      <c r="A244" s="93"/>
      <c r="B244" s="99" t="s">
        <v>535</v>
      </c>
      <c r="C244" s="100" t="s">
        <v>184</v>
      </c>
      <c r="D244" s="104" t="s">
        <v>186</v>
      </c>
      <c r="E244" s="105">
        <v>38236</v>
      </c>
      <c r="F244" s="145" t="s">
        <v>543</v>
      </c>
      <c r="G244" s="143">
        <v>4339</v>
      </c>
      <c r="H244" s="94"/>
      <c r="I244" s="94"/>
      <c r="J244" s="98"/>
      <c r="K244" s="118"/>
    </row>
    <row r="245" spans="1:11" ht="15" hidden="1" customHeight="1" x14ac:dyDescent="0.25">
      <c r="A245" s="129"/>
      <c r="B245" s="99" t="s">
        <v>518</v>
      </c>
      <c r="C245" s="100" t="s">
        <v>184</v>
      </c>
      <c r="D245" s="104" t="s">
        <v>186</v>
      </c>
      <c r="E245" s="105">
        <v>41499</v>
      </c>
      <c r="F245" s="145" t="s">
        <v>544</v>
      </c>
      <c r="G245" s="143">
        <v>7500</v>
      </c>
      <c r="H245" s="145"/>
      <c r="I245" s="145"/>
      <c r="J245" s="129"/>
      <c r="K245" s="165"/>
    </row>
    <row r="246" spans="1:11" ht="15.75" hidden="1" customHeight="1" x14ac:dyDescent="0.25">
      <c r="A246" s="93"/>
      <c r="B246" s="99" t="s">
        <v>545</v>
      </c>
      <c r="C246" s="100" t="s">
        <v>184</v>
      </c>
      <c r="D246" s="104" t="s">
        <v>186</v>
      </c>
      <c r="E246" s="105">
        <v>39660</v>
      </c>
      <c r="F246" s="145" t="s">
        <v>546</v>
      </c>
      <c r="G246" s="143">
        <v>8000</v>
      </c>
      <c r="H246" s="94"/>
      <c r="I246" s="94"/>
      <c r="J246" s="98"/>
      <c r="K246" s="118"/>
    </row>
    <row r="247" spans="1:11" ht="15.75" hidden="1" customHeight="1" x14ac:dyDescent="0.25">
      <c r="A247" s="93"/>
      <c r="B247" s="99" t="s">
        <v>547</v>
      </c>
      <c r="C247" s="100" t="s">
        <v>184</v>
      </c>
      <c r="D247" s="104" t="s">
        <v>186</v>
      </c>
      <c r="E247" s="105">
        <v>41831</v>
      </c>
      <c r="F247" s="162" t="s">
        <v>548</v>
      </c>
      <c r="G247" s="143">
        <v>6500</v>
      </c>
      <c r="H247" s="94"/>
      <c r="I247" s="94"/>
      <c r="J247" s="98"/>
      <c r="K247" s="118"/>
    </row>
    <row r="248" spans="1:11" ht="17.25" hidden="1" customHeight="1" x14ac:dyDescent="0.25">
      <c r="A248" s="93"/>
      <c r="B248" s="99" t="s">
        <v>549</v>
      </c>
      <c r="C248" s="100" t="s">
        <v>184</v>
      </c>
      <c r="D248" s="104" t="s">
        <v>186</v>
      </c>
      <c r="E248" s="105">
        <v>41950</v>
      </c>
      <c r="F248" s="145" t="s">
        <v>550</v>
      </c>
      <c r="G248" s="143">
        <v>7143</v>
      </c>
      <c r="H248" s="94"/>
      <c r="I248" s="94"/>
      <c r="J248" s="98"/>
      <c r="K248" s="118"/>
    </row>
    <row r="249" spans="1:11" ht="15.75" hidden="1" customHeight="1" x14ac:dyDescent="0.25">
      <c r="A249" s="93"/>
      <c r="B249" s="99" t="s">
        <v>549</v>
      </c>
      <c r="C249" s="100" t="s">
        <v>184</v>
      </c>
      <c r="D249" s="104" t="s">
        <v>186</v>
      </c>
      <c r="E249" s="105">
        <v>42240</v>
      </c>
      <c r="F249" s="145" t="s">
        <v>551</v>
      </c>
      <c r="G249" s="143">
        <v>7143</v>
      </c>
      <c r="H249" s="94"/>
      <c r="I249" s="94"/>
      <c r="J249" s="98"/>
      <c r="K249" s="118"/>
    </row>
    <row r="250" spans="1:11" ht="15.75" hidden="1" customHeight="1" x14ac:dyDescent="0.25">
      <c r="A250" s="93"/>
      <c r="B250" s="99" t="s">
        <v>549</v>
      </c>
      <c r="C250" s="100" t="s">
        <v>184</v>
      </c>
      <c r="D250" s="104" t="s">
        <v>186</v>
      </c>
      <c r="E250" s="105">
        <v>42240</v>
      </c>
      <c r="F250" s="145" t="s">
        <v>552</v>
      </c>
      <c r="G250" s="143">
        <v>7143</v>
      </c>
      <c r="H250" s="94"/>
      <c r="I250" s="94"/>
      <c r="J250" s="98"/>
      <c r="K250" s="118"/>
    </row>
    <row r="251" spans="1:11" ht="15.75" hidden="1" customHeight="1" x14ac:dyDescent="0.25">
      <c r="A251" s="93"/>
      <c r="B251" s="99" t="s">
        <v>549</v>
      </c>
      <c r="C251" s="100" t="s">
        <v>184</v>
      </c>
      <c r="D251" s="104" t="s">
        <v>186</v>
      </c>
      <c r="E251" s="105">
        <v>42601</v>
      </c>
      <c r="F251" s="145" t="s">
        <v>553</v>
      </c>
      <c r="G251" s="143">
        <v>6450</v>
      </c>
      <c r="H251" s="94"/>
      <c r="I251" s="94"/>
      <c r="J251" s="98"/>
      <c r="K251" s="118"/>
    </row>
    <row r="252" spans="1:11" ht="15" hidden="1" customHeight="1" x14ac:dyDescent="0.25">
      <c r="A252" s="129"/>
      <c r="B252" s="99" t="s">
        <v>549</v>
      </c>
      <c r="C252" s="100" t="s">
        <v>184</v>
      </c>
      <c r="D252" s="104" t="s">
        <v>186</v>
      </c>
      <c r="E252" s="105">
        <v>42601</v>
      </c>
      <c r="F252" s="145" t="s">
        <v>554</v>
      </c>
      <c r="G252" s="143">
        <v>6450</v>
      </c>
      <c r="H252" s="94"/>
      <c r="I252" s="94"/>
      <c r="J252" s="98"/>
      <c r="K252" s="118"/>
    </row>
    <row r="253" spans="1:11" ht="15.75" hidden="1" customHeight="1" x14ac:dyDescent="0.25">
      <c r="A253" s="93"/>
      <c r="B253" s="145" t="s">
        <v>555</v>
      </c>
      <c r="C253" s="100" t="s">
        <v>184</v>
      </c>
      <c r="D253" s="104" t="s">
        <v>186</v>
      </c>
      <c r="E253" s="105">
        <v>42601</v>
      </c>
      <c r="F253" s="145" t="s">
        <v>556</v>
      </c>
      <c r="G253" s="143">
        <v>6450</v>
      </c>
      <c r="H253" s="94"/>
      <c r="I253" s="94"/>
      <c r="J253" s="98"/>
      <c r="K253" s="118"/>
    </row>
    <row r="254" spans="1:11" ht="15.75" hidden="1" customHeight="1" x14ac:dyDescent="0.25">
      <c r="A254" s="93"/>
      <c r="B254" s="99" t="s">
        <v>518</v>
      </c>
      <c r="C254" s="100" t="s">
        <v>184</v>
      </c>
      <c r="D254" s="104" t="s">
        <v>186</v>
      </c>
      <c r="E254" s="105">
        <v>42660</v>
      </c>
      <c r="F254" s="142" t="s">
        <v>557</v>
      </c>
      <c r="G254" s="146">
        <v>7200</v>
      </c>
      <c r="H254" s="94"/>
      <c r="I254" s="94"/>
      <c r="J254" s="98"/>
      <c r="K254" s="118"/>
    </row>
    <row r="255" spans="1:11" ht="15.75" hidden="1" customHeight="1" x14ac:dyDescent="0.25">
      <c r="A255" s="93"/>
      <c r="B255" s="99" t="s">
        <v>558</v>
      </c>
      <c r="C255" s="100" t="s">
        <v>184</v>
      </c>
      <c r="D255" s="104" t="s">
        <v>186</v>
      </c>
      <c r="E255" s="105" t="s">
        <v>559</v>
      </c>
      <c r="F255" s="145" t="s">
        <v>560</v>
      </c>
      <c r="G255" s="143">
        <v>7531</v>
      </c>
      <c r="H255" s="94"/>
      <c r="I255" s="94"/>
      <c r="J255" s="98"/>
      <c r="K255" s="118"/>
    </row>
    <row r="256" spans="1:11" ht="15" hidden="1" customHeight="1" x14ac:dyDescent="0.25">
      <c r="A256" s="129"/>
      <c r="B256" s="145" t="s">
        <v>561</v>
      </c>
      <c r="C256" s="100" t="s">
        <v>184</v>
      </c>
      <c r="D256" s="104" t="s">
        <v>186</v>
      </c>
      <c r="E256" s="105">
        <v>43985</v>
      </c>
      <c r="F256" s="145" t="s">
        <v>562</v>
      </c>
      <c r="G256" s="146">
        <v>12500</v>
      </c>
      <c r="H256" s="94"/>
      <c r="I256" s="94"/>
      <c r="J256" s="98"/>
      <c r="K256" s="118"/>
    </row>
    <row r="257" spans="1:11" ht="15" hidden="1" customHeight="1" x14ac:dyDescent="0.25">
      <c r="A257" s="129"/>
      <c r="B257" s="145" t="s">
        <v>563</v>
      </c>
      <c r="C257" s="100"/>
      <c r="D257" s="104"/>
      <c r="E257" s="105">
        <v>44456</v>
      </c>
      <c r="F257" s="145" t="s">
        <v>564</v>
      </c>
      <c r="G257" s="146">
        <v>9495</v>
      </c>
      <c r="H257" s="94"/>
      <c r="I257" s="94"/>
      <c r="J257" s="98"/>
      <c r="K257" s="118"/>
    </row>
    <row r="258" spans="1:11" ht="15" hidden="1" customHeight="1" x14ac:dyDescent="0.25">
      <c r="A258" s="129"/>
      <c r="B258" s="145" t="s">
        <v>563</v>
      </c>
      <c r="C258" s="100"/>
      <c r="D258" s="104"/>
      <c r="E258" s="105">
        <v>44475</v>
      </c>
      <c r="F258" s="145" t="s">
        <v>565</v>
      </c>
      <c r="G258" s="146">
        <v>9495</v>
      </c>
      <c r="H258" s="94"/>
      <c r="I258" s="94"/>
      <c r="J258" s="98"/>
      <c r="K258" s="118"/>
    </row>
    <row r="259" spans="1:11" ht="15" hidden="1" customHeight="1" x14ac:dyDescent="0.25">
      <c r="A259" s="129"/>
      <c r="B259" s="145" t="s">
        <v>563</v>
      </c>
      <c r="C259" s="100"/>
      <c r="D259" s="104"/>
      <c r="E259" s="105">
        <v>44565</v>
      </c>
      <c r="F259" s="145" t="s">
        <v>566</v>
      </c>
      <c r="G259" s="146">
        <v>10495</v>
      </c>
      <c r="H259" s="94"/>
      <c r="I259" s="94"/>
      <c r="J259" s="98"/>
      <c r="K259" s="118"/>
    </row>
    <row r="260" spans="1:11" ht="15.75" hidden="1" customHeight="1" x14ac:dyDescent="0.25">
      <c r="A260" s="93"/>
      <c r="B260" s="145" t="s">
        <v>567</v>
      </c>
      <c r="C260" s="100" t="s">
        <v>184</v>
      </c>
      <c r="D260" s="104" t="s">
        <v>186</v>
      </c>
      <c r="E260" s="105">
        <v>42601</v>
      </c>
      <c r="F260" s="145" t="s">
        <v>568</v>
      </c>
      <c r="G260" s="143">
        <v>8571</v>
      </c>
      <c r="H260" s="94"/>
      <c r="I260" s="94"/>
      <c r="J260" s="98"/>
      <c r="K260" s="118"/>
    </row>
    <row r="261" spans="1:11" ht="15.75" hidden="1" customHeight="1" x14ac:dyDescent="0.25">
      <c r="A261" s="93"/>
      <c r="B261" s="145" t="s">
        <v>569</v>
      </c>
      <c r="C261" s="100" t="s">
        <v>184</v>
      </c>
      <c r="D261" s="104" t="s">
        <v>186</v>
      </c>
      <c r="E261" s="105">
        <v>39979</v>
      </c>
      <c r="F261" s="145" t="s">
        <v>570</v>
      </c>
      <c r="G261" s="143">
        <v>9000</v>
      </c>
      <c r="H261" s="94"/>
      <c r="I261" s="94"/>
      <c r="J261" s="98"/>
      <c r="K261" s="118"/>
    </row>
    <row r="262" spans="1:11" ht="15.75" hidden="1" customHeight="1" x14ac:dyDescent="0.25">
      <c r="A262" s="93"/>
      <c r="B262" s="145" t="s">
        <v>569</v>
      </c>
      <c r="C262" s="100" t="s">
        <v>184</v>
      </c>
      <c r="D262" s="104" t="s">
        <v>186</v>
      </c>
      <c r="E262" s="105">
        <v>40464</v>
      </c>
      <c r="F262" s="145" t="s">
        <v>571</v>
      </c>
      <c r="G262" s="143">
        <v>8427</v>
      </c>
      <c r="H262" s="94"/>
      <c r="I262" s="94"/>
      <c r="J262" s="98"/>
      <c r="K262" s="118"/>
    </row>
    <row r="263" spans="1:11" ht="15.75" hidden="1" customHeight="1" x14ac:dyDescent="0.25">
      <c r="A263" s="93"/>
      <c r="B263" s="145" t="s">
        <v>569</v>
      </c>
      <c r="C263" s="100" t="s">
        <v>184</v>
      </c>
      <c r="D263" s="104" t="s">
        <v>186</v>
      </c>
      <c r="E263" s="105">
        <v>40750</v>
      </c>
      <c r="F263" s="145" t="s">
        <v>572</v>
      </c>
      <c r="G263" s="143">
        <v>9000</v>
      </c>
      <c r="H263" s="94"/>
      <c r="I263" s="94"/>
      <c r="J263" s="98"/>
      <c r="K263" s="118"/>
    </row>
    <row r="264" spans="1:11" ht="15.75" hidden="1" customHeight="1" x14ac:dyDescent="0.25">
      <c r="A264" s="93"/>
      <c r="B264" s="145" t="s">
        <v>569</v>
      </c>
      <c r="C264" s="100" t="s">
        <v>184</v>
      </c>
      <c r="D264" s="104" t="s">
        <v>186</v>
      </c>
      <c r="E264" s="105">
        <v>40829</v>
      </c>
      <c r="F264" s="145" t="s">
        <v>573</v>
      </c>
      <c r="G264" s="143">
        <v>9000</v>
      </c>
      <c r="H264" s="94"/>
      <c r="I264" s="94"/>
      <c r="J264" s="98"/>
      <c r="K264" s="118"/>
    </row>
    <row r="265" spans="1:11" ht="15.75" hidden="1" customHeight="1" x14ac:dyDescent="0.25">
      <c r="A265" s="93"/>
      <c r="B265" s="145" t="s">
        <v>569</v>
      </c>
      <c r="C265" s="100" t="s">
        <v>184</v>
      </c>
      <c r="D265" s="104" t="s">
        <v>186</v>
      </c>
      <c r="E265" s="105">
        <v>41499</v>
      </c>
      <c r="F265" s="145" t="s">
        <v>574</v>
      </c>
      <c r="G265" s="143">
        <v>9000</v>
      </c>
      <c r="H265" s="94"/>
      <c r="I265" s="94"/>
      <c r="J265" s="98"/>
      <c r="K265" s="118"/>
    </row>
    <row r="266" spans="1:11" ht="15" hidden="1" customHeight="1" x14ac:dyDescent="0.25">
      <c r="A266" s="130"/>
      <c r="B266" s="145" t="s">
        <v>567</v>
      </c>
      <c r="C266" s="100" t="s">
        <v>184</v>
      </c>
      <c r="D266" s="104" t="s">
        <v>186</v>
      </c>
      <c r="E266" s="105">
        <v>42601</v>
      </c>
      <c r="F266" s="145" t="s">
        <v>568</v>
      </c>
      <c r="G266" s="143">
        <v>8571</v>
      </c>
      <c r="H266" s="145"/>
      <c r="I266" s="145"/>
      <c r="J266" s="130"/>
      <c r="K266" s="193"/>
    </row>
    <row r="267" spans="1:11" ht="15.75" hidden="1" customHeight="1" x14ac:dyDescent="0.25">
      <c r="A267" s="106"/>
      <c r="B267" s="145" t="s">
        <v>569</v>
      </c>
      <c r="C267" s="100" t="s">
        <v>184</v>
      </c>
      <c r="D267" s="104" t="s">
        <v>186</v>
      </c>
      <c r="E267" s="105">
        <v>42601</v>
      </c>
      <c r="F267" s="145" t="s">
        <v>575</v>
      </c>
      <c r="G267" s="143">
        <v>8571</v>
      </c>
      <c r="H267" s="94"/>
      <c r="I267" s="94"/>
      <c r="J267" s="107"/>
      <c r="K267" s="192"/>
    </row>
    <row r="268" spans="1:11" ht="15.75" hidden="1" customHeight="1" x14ac:dyDescent="0.25">
      <c r="A268" s="106"/>
      <c r="B268" s="145" t="s">
        <v>569</v>
      </c>
      <c r="C268" s="100" t="s">
        <v>184</v>
      </c>
      <c r="D268" s="104" t="s">
        <v>186</v>
      </c>
      <c r="E268" s="105">
        <v>42660</v>
      </c>
      <c r="F268" s="145" t="s">
        <v>576</v>
      </c>
      <c r="G268" s="143">
        <v>8571</v>
      </c>
      <c r="H268" s="94"/>
      <c r="I268" s="94"/>
      <c r="J268" s="107"/>
      <c r="K268" s="192"/>
    </row>
    <row r="269" spans="1:11" ht="15" hidden="1" customHeight="1" x14ac:dyDescent="0.25">
      <c r="A269" s="130"/>
      <c r="B269" s="142" t="s">
        <v>577</v>
      </c>
      <c r="C269" s="100" t="s">
        <v>184</v>
      </c>
      <c r="D269" s="104" t="s">
        <v>186</v>
      </c>
      <c r="E269" s="105">
        <v>27912</v>
      </c>
      <c r="F269" s="145" t="s">
        <v>578</v>
      </c>
      <c r="G269" s="143">
        <v>800</v>
      </c>
      <c r="H269" s="145"/>
      <c r="I269" s="145"/>
      <c r="J269" s="130"/>
      <c r="K269" s="193"/>
    </row>
    <row r="270" spans="1:11" ht="15" hidden="1" customHeight="1" x14ac:dyDescent="0.25">
      <c r="A270" s="130"/>
      <c r="B270" s="99" t="s">
        <v>579</v>
      </c>
      <c r="C270" s="100" t="s">
        <v>184</v>
      </c>
      <c r="D270" s="104" t="s">
        <v>186</v>
      </c>
      <c r="E270" s="105">
        <v>39963</v>
      </c>
      <c r="F270" s="145" t="s">
        <v>580</v>
      </c>
      <c r="G270" s="143">
        <v>805</v>
      </c>
      <c r="H270" s="145"/>
      <c r="I270" s="145"/>
      <c r="J270" s="130"/>
      <c r="K270" s="193"/>
    </row>
    <row r="271" spans="1:11" ht="15" hidden="1" customHeight="1" x14ac:dyDescent="0.25">
      <c r="A271" s="130"/>
      <c r="B271" s="99" t="s">
        <v>581</v>
      </c>
      <c r="C271" s="100" t="s">
        <v>184</v>
      </c>
      <c r="D271" s="104" t="s">
        <v>186</v>
      </c>
      <c r="E271" s="105">
        <v>38776</v>
      </c>
      <c r="F271" s="145" t="s">
        <v>582</v>
      </c>
      <c r="G271" s="143">
        <v>10450</v>
      </c>
      <c r="H271" s="94"/>
      <c r="I271" s="94"/>
      <c r="J271" s="107"/>
      <c r="K271" s="192"/>
    </row>
    <row r="272" spans="1:11" ht="15" hidden="1" customHeight="1" x14ac:dyDescent="0.25">
      <c r="A272" s="130"/>
      <c r="B272" s="145" t="s">
        <v>583</v>
      </c>
      <c r="C272" s="100" t="s">
        <v>184</v>
      </c>
      <c r="D272" s="104" t="s">
        <v>186</v>
      </c>
      <c r="E272" s="105">
        <v>40465</v>
      </c>
      <c r="F272" s="145" t="s">
        <v>584</v>
      </c>
      <c r="G272" s="143">
        <v>8085</v>
      </c>
      <c r="H272" s="94"/>
      <c r="I272" s="94"/>
      <c r="J272" s="107"/>
      <c r="K272" s="192"/>
    </row>
    <row r="273" spans="1:11" ht="15" hidden="1" customHeight="1" x14ac:dyDescent="0.25">
      <c r="A273" s="130"/>
      <c r="B273" s="145" t="s">
        <v>585</v>
      </c>
      <c r="C273" s="100" t="s">
        <v>184</v>
      </c>
      <c r="D273" s="104" t="s">
        <v>186</v>
      </c>
      <c r="E273" s="105">
        <v>43328</v>
      </c>
      <c r="F273" s="145" t="s">
        <v>586</v>
      </c>
      <c r="G273" s="143">
        <v>4025</v>
      </c>
      <c r="H273" s="94"/>
      <c r="I273" s="94"/>
      <c r="J273" s="107"/>
      <c r="K273" s="192"/>
    </row>
    <row r="274" spans="1:11" ht="15" hidden="1" customHeight="1" x14ac:dyDescent="0.25">
      <c r="A274" s="130"/>
      <c r="B274" s="145" t="s">
        <v>587</v>
      </c>
      <c r="C274" s="100" t="s">
        <v>184</v>
      </c>
      <c r="D274" s="104" t="s">
        <v>186</v>
      </c>
      <c r="E274" s="105">
        <v>43352</v>
      </c>
      <c r="F274" s="145" t="s">
        <v>588</v>
      </c>
      <c r="G274" s="143">
        <v>1395</v>
      </c>
      <c r="H274" s="94"/>
      <c r="I274" s="94"/>
      <c r="J274" s="107"/>
      <c r="K274" s="192"/>
    </row>
    <row r="275" spans="1:11" ht="15" hidden="1" customHeight="1" x14ac:dyDescent="0.25">
      <c r="A275" s="130"/>
      <c r="B275" s="99" t="s">
        <v>589</v>
      </c>
      <c r="C275" s="100" t="s">
        <v>184</v>
      </c>
      <c r="D275" s="104" t="s">
        <v>186</v>
      </c>
      <c r="E275" s="105">
        <v>43755</v>
      </c>
      <c r="F275" s="145" t="s">
        <v>590</v>
      </c>
      <c r="G275" s="143">
        <v>6229.75</v>
      </c>
      <c r="H275" s="94"/>
      <c r="I275" s="94"/>
      <c r="J275" s="107"/>
      <c r="K275" s="192"/>
    </row>
    <row r="276" spans="1:11" ht="15" hidden="1" customHeight="1" x14ac:dyDescent="0.25">
      <c r="A276" s="130"/>
      <c r="B276" s="99" t="s">
        <v>591</v>
      </c>
      <c r="C276" s="100" t="s">
        <v>184</v>
      </c>
      <c r="D276" s="104" t="s">
        <v>186</v>
      </c>
      <c r="E276" s="105">
        <v>41829</v>
      </c>
      <c r="F276" s="145" t="s">
        <v>592</v>
      </c>
      <c r="G276" s="143">
        <v>10998</v>
      </c>
      <c r="H276" s="94"/>
      <c r="I276" s="94"/>
      <c r="J276" s="107"/>
      <c r="K276" s="192"/>
    </row>
    <row r="277" spans="1:11" ht="15" hidden="1" customHeight="1" x14ac:dyDescent="0.25">
      <c r="A277" s="106" t="s">
        <v>593</v>
      </c>
      <c r="B277" s="145"/>
      <c r="C277" s="145"/>
      <c r="D277" s="145"/>
      <c r="E277" s="105"/>
      <c r="F277" s="145"/>
      <c r="G277" s="143"/>
      <c r="H277" s="94"/>
      <c r="I277" s="94"/>
      <c r="J277" s="107"/>
      <c r="K277" s="192"/>
    </row>
    <row r="278" spans="1:11" ht="15" hidden="1" customHeight="1" x14ac:dyDescent="0.25">
      <c r="A278" s="130"/>
      <c r="B278" s="99" t="s">
        <v>594</v>
      </c>
      <c r="C278" s="100" t="s">
        <v>184</v>
      </c>
      <c r="D278" s="104" t="s">
        <v>186</v>
      </c>
      <c r="E278" s="105">
        <v>37711</v>
      </c>
      <c r="F278" s="145" t="s">
        <v>595</v>
      </c>
      <c r="G278" s="143">
        <v>12500</v>
      </c>
      <c r="H278" s="94"/>
      <c r="I278" s="94"/>
      <c r="J278" s="107"/>
      <c r="K278" s="192"/>
    </row>
    <row r="279" spans="1:11" ht="15" hidden="1" customHeight="1" x14ac:dyDescent="0.25">
      <c r="A279" s="130"/>
      <c r="B279" s="99" t="s">
        <v>596</v>
      </c>
      <c r="C279" s="100" t="s">
        <v>184</v>
      </c>
      <c r="D279" s="104" t="s">
        <v>186</v>
      </c>
      <c r="E279" s="105">
        <v>38748</v>
      </c>
      <c r="F279" s="145" t="s">
        <v>597</v>
      </c>
      <c r="G279" s="143">
        <v>3000</v>
      </c>
      <c r="H279" s="94"/>
      <c r="I279" s="94"/>
      <c r="J279" s="107"/>
      <c r="K279" s="192"/>
    </row>
    <row r="280" spans="1:11" ht="15" hidden="1" customHeight="1" x14ac:dyDescent="0.25">
      <c r="A280" s="130"/>
      <c r="B280" s="99" t="s">
        <v>598</v>
      </c>
      <c r="C280" s="100" t="s">
        <v>184</v>
      </c>
      <c r="D280" s="104" t="s">
        <v>186</v>
      </c>
      <c r="E280" s="105">
        <v>40451</v>
      </c>
      <c r="F280" s="145" t="s">
        <v>599</v>
      </c>
      <c r="G280" s="143">
        <v>10431</v>
      </c>
      <c r="H280" s="94"/>
      <c r="I280" s="94"/>
      <c r="J280" s="107"/>
      <c r="K280" s="192"/>
    </row>
    <row r="281" spans="1:11" ht="15" hidden="1" customHeight="1" x14ac:dyDescent="0.25">
      <c r="A281" s="130"/>
      <c r="B281" s="145" t="s">
        <v>600</v>
      </c>
      <c r="C281" s="100" t="s">
        <v>184</v>
      </c>
      <c r="D281" s="104" t="s">
        <v>186</v>
      </c>
      <c r="E281" s="105">
        <v>38518</v>
      </c>
      <c r="F281" s="145" t="s">
        <v>601</v>
      </c>
      <c r="G281" s="143">
        <v>1500</v>
      </c>
      <c r="H281" s="94"/>
      <c r="I281" s="94"/>
      <c r="J281" s="107"/>
      <c r="K281" s="192"/>
    </row>
    <row r="282" spans="1:11" ht="15" hidden="1" customHeight="1" x14ac:dyDescent="0.25">
      <c r="A282" s="130"/>
      <c r="B282" s="142" t="s">
        <v>602</v>
      </c>
      <c r="C282" s="100" t="s">
        <v>184</v>
      </c>
      <c r="D282" s="104" t="s">
        <v>186</v>
      </c>
      <c r="E282" s="105">
        <v>35834</v>
      </c>
      <c r="F282" s="142" t="s">
        <v>603</v>
      </c>
      <c r="G282" s="146">
        <v>2900</v>
      </c>
      <c r="H282" s="94"/>
      <c r="I282" s="94"/>
      <c r="J282" s="107"/>
      <c r="K282" s="192"/>
    </row>
    <row r="283" spans="1:11" ht="15" hidden="1" customHeight="1" x14ac:dyDescent="0.25">
      <c r="A283" s="130"/>
      <c r="B283" s="145" t="s">
        <v>600</v>
      </c>
      <c r="C283" s="100" t="s">
        <v>184</v>
      </c>
      <c r="D283" s="104" t="s">
        <v>186</v>
      </c>
      <c r="E283" s="105">
        <v>42725</v>
      </c>
      <c r="F283" s="145" t="s">
        <v>604</v>
      </c>
      <c r="G283" s="146">
        <v>1875</v>
      </c>
      <c r="H283" s="94"/>
      <c r="I283" s="94"/>
      <c r="J283" s="107"/>
      <c r="K283" s="192"/>
    </row>
    <row r="284" spans="1:11" ht="15" hidden="1" customHeight="1" x14ac:dyDescent="0.25">
      <c r="A284" s="130"/>
      <c r="B284" s="145" t="s">
        <v>600</v>
      </c>
      <c r="C284" s="100" t="s">
        <v>184</v>
      </c>
      <c r="D284" s="104" t="s">
        <v>186</v>
      </c>
      <c r="E284" s="105">
        <v>38518</v>
      </c>
      <c r="F284" s="145" t="s">
        <v>605</v>
      </c>
      <c r="G284" s="143">
        <v>1500</v>
      </c>
      <c r="H284" s="94"/>
      <c r="I284" s="94"/>
      <c r="J284" s="107"/>
      <c r="K284" s="192"/>
    </row>
    <row r="285" spans="1:11" ht="15" hidden="1" customHeight="1" x14ac:dyDescent="0.25">
      <c r="A285" s="130"/>
      <c r="B285" s="145" t="s">
        <v>600</v>
      </c>
      <c r="C285" s="100" t="s">
        <v>184</v>
      </c>
      <c r="D285" s="104" t="s">
        <v>186</v>
      </c>
      <c r="E285" s="105">
        <v>39979</v>
      </c>
      <c r="F285" s="142" t="s">
        <v>606</v>
      </c>
      <c r="G285" s="146">
        <v>1450</v>
      </c>
      <c r="H285" s="94"/>
      <c r="I285" s="94"/>
      <c r="J285" s="107"/>
      <c r="K285" s="192"/>
    </row>
    <row r="286" spans="1:11" ht="15" hidden="1" customHeight="1" x14ac:dyDescent="0.25">
      <c r="A286" s="130"/>
      <c r="B286" s="99" t="s">
        <v>607</v>
      </c>
      <c r="C286" s="100" t="s">
        <v>184</v>
      </c>
      <c r="D286" s="104" t="s">
        <v>186</v>
      </c>
      <c r="E286" s="105">
        <v>41235</v>
      </c>
      <c r="F286" s="145" t="s">
        <v>608</v>
      </c>
      <c r="G286" s="143">
        <v>1275</v>
      </c>
      <c r="H286" s="94"/>
      <c r="I286" s="94"/>
      <c r="J286" s="107"/>
      <c r="K286" s="192"/>
    </row>
    <row r="287" spans="1:11" ht="15" hidden="1" customHeight="1" x14ac:dyDescent="0.25">
      <c r="A287" s="130"/>
      <c r="B287" s="145" t="s">
        <v>600</v>
      </c>
      <c r="C287" s="100" t="s">
        <v>184</v>
      </c>
      <c r="D287" s="104" t="s">
        <v>186</v>
      </c>
      <c r="E287" s="105">
        <v>43411</v>
      </c>
      <c r="F287" s="145" t="s">
        <v>609</v>
      </c>
      <c r="G287" s="143">
        <v>1540</v>
      </c>
      <c r="H287" s="94"/>
      <c r="I287" s="94"/>
      <c r="J287" s="107"/>
      <c r="K287" s="192"/>
    </row>
    <row r="288" spans="1:11" ht="15" hidden="1" customHeight="1" x14ac:dyDescent="0.25">
      <c r="A288" s="106" t="s">
        <v>610</v>
      </c>
      <c r="B288" s="145"/>
      <c r="C288" s="94"/>
      <c r="D288" s="94"/>
      <c r="E288" s="105"/>
      <c r="F288" s="145"/>
      <c r="G288" s="146"/>
      <c r="H288" s="94"/>
      <c r="I288" s="94"/>
      <c r="J288" s="107"/>
      <c r="K288" s="192"/>
    </row>
    <row r="289" spans="1:11" ht="15" hidden="1" customHeight="1" x14ac:dyDescent="0.25">
      <c r="A289" s="130"/>
      <c r="B289" s="99" t="s">
        <v>611</v>
      </c>
      <c r="C289" s="100" t="s">
        <v>184</v>
      </c>
      <c r="D289" s="104" t="s">
        <v>186</v>
      </c>
      <c r="E289" s="105">
        <v>40612</v>
      </c>
      <c r="F289" s="145" t="s">
        <v>612</v>
      </c>
      <c r="G289" s="143">
        <v>1300</v>
      </c>
      <c r="H289" s="94"/>
      <c r="I289" s="94"/>
      <c r="J289" s="107"/>
      <c r="K289" s="192"/>
    </row>
    <row r="290" spans="1:11" ht="15" hidden="1" customHeight="1" x14ac:dyDescent="0.25">
      <c r="A290" s="130"/>
      <c r="B290" s="99" t="s">
        <v>613</v>
      </c>
      <c r="C290" s="100" t="s">
        <v>184</v>
      </c>
      <c r="D290" s="104" t="s">
        <v>186</v>
      </c>
      <c r="E290" s="105">
        <v>42621</v>
      </c>
      <c r="F290" s="145" t="s">
        <v>614</v>
      </c>
      <c r="G290" s="143">
        <v>8995</v>
      </c>
      <c r="H290" s="94"/>
      <c r="I290" s="94"/>
      <c r="J290" s="107"/>
      <c r="K290" s="192"/>
    </row>
    <row r="291" spans="1:11" ht="15" hidden="1" customHeight="1" x14ac:dyDescent="0.25">
      <c r="A291" s="106" t="s">
        <v>615</v>
      </c>
      <c r="B291" s="145"/>
      <c r="C291" s="94"/>
      <c r="D291" s="94"/>
      <c r="E291" s="105"/>
      <c r="F291" s="145"/>
      <c r="G291" s="146"/>
      <c r="H291" s="94"/>
      <c r="I291" s="94"/>
      <c r="J291" s="107"/>
      <c r="K291" s="192"/>
    </row>
    <row r="292" spans="1:11" ht="30" hidden="1" customHeight="1" x14ac:dyDescent="0.25">
      <c r="A292" s="106"/>
      <c r="B292" s="134" t="s">
        <v>616</v>
      </c>
      <c r="C292" s="100" t="s">
        <v>184</v>
      </c>
      <c r="D292" s="104" t="s">
        <v>186</v>
      </c>
      <c r="E292" s="163">
        <v>39267</v>
      </c>
      <c r="F292" s="134" t="s">
        <v>617</v>
      </c>
      <c r="G292" s="176">
        <v>5740</v>
      </c>
      <c r="H292" s="94"/>
      <c r="I292" s="94"/>
      <c r="J292" s="107"/>
      <c r="K292" s="192"/>
    </row>
    <row r="293" spans="1:11" ht="15" hidden="1" customHeight="1" x14ac:dyDescent="0.25">
      <c r="A293" s="130"/>
      <c r="B293" s="99" t="s">
        <v>618</v>
      </c>
      <c r="C293" s="100" t="s">
        <v>184</v>
      </c>
      <c r="D293" s="104" t="s">
        <v>186</v>
      </c>
      <c r="E293" s="105">
        <v>34221</v>
      </c>
      <c r="F293" s="145" t="s">
        <v>619</v>
      </c>
      <c r="G293" s="143">
        <v>980</v>
      </c>
      <c r="H293" s="94"/>
      <c r="I293" s="94"/>
      <c r="J293" s="107"/>
      <c r="K293" s="192"/>
    </row>
    <row r="294" spans="1:11" ht="30" hidden="1" customHeight="1" x14ac:dyDescent="0.25">
      <c r="A294" s="106"/>
      <c r="B294" s="99" t="s">
        <v>616</v>
      </c>
      <c r="C294" s="100" t="s">
        <v>184</v>
      </c>
      <c r="D294" s="104" t="s">
        <v>186</v>
      </c>
      <c r="E294" s="147">
        <v>39267</v>
      </c>
      <c r="F294" s="99" t="s">
        <v>620</v>
      </c>
      <c r="G294" s="159">
        <v>5740</v>
      </c>
      <c r="H294" s="94"/>
      <c r="I294" s="94"/>
      <c r="J294" s="107"/>
      <c r="K294" s="192"/>
    </row>
    <row r="295" spans="1:11" ht="15" hidden="1" customHeight="1" x14ac:dyDescent="0.25">
      <c r="A295" s="130"/>
      <c r="B295" s="99" t="s">
        <v>621</v>
      </c>
      <c r="C295" s="100" t="s">
        <v>184</v>
      </c>
      <c r="D295" s="104" t="s">
        <v>186</v>
      </c>
      <c r="E295" s="105">
        <v>38072</v>
      </c>
      <c r="F295" s="145" t="s">
        <v>622</v>
      </c>
      <c r="G295" s="143">
        <v>2350</v>
      </c>
      <c r="H295" s="94"/>
      <c r="I295" s="94"/>
      <c r="J295" s="107"/>
      <c r="K295" s="192"/>
    </row>
    <row r="296" spans="1:11" ht="15" hidden="1" customHeight="1" x14ac:dyDescent="0.25">
      <c r="A296" s="130"/>
      <c r="B296" s="99" t="s">
        <v>623</v>
      </c>
      <c r="C296" s="100" t="s">
        <v>184</v>
      </c>
      <c r="D296" s="104" t="s">
        <v>186</v>
      </c>
      <c r="E296" s="147">
        <v>41379</v>
      </c>
      <c r="F296" s="99" t="s">
        <v>624</v>
      </c>
      <c r="G296" s="159">
        <v>9000</v>
      </c>
      <c r="H296" s="94"/>
      <c r="I296" s="94"/>
      <c r="J296" s="107"/>
      <c r="K296" s="192"/>
    </row>
    <row r="297" spans="1:11" ht="15" hidden="1" customHeight="1" x14ac:dyDescent="0.25">
      <c r="A297" s="130"/>
      <c r="B297" s="99" t="s">
        <v>625</v>
      </c>
      <c r="C297" s="100" t="s">
        <v>184</v>
      </c>
      <c r="D297" s="104" t="s">
        <v>186</v>
      </c>
      <c r="E297" s="105">
        <v>42569</v>
      </c>
      <c r="F297" s="145" t="s">
        <v>626</v>
      </c>
      <c r="G297" s="143">
        <v>680</v>
      </c>
      <c r="H297" s="94"/>
      <c r="I297" s="94"/>
      <c r="J297" s="107"/>
      <c r="K297" s="192"/>
    </row>
    <row r="298" spans="1:11" ht="15" hidden="1" customHeight="1" x14ac:dyDescent="0.25">
      <c r="A298" s="130"/>
      <c r="B298" s="99" t="s">
        <v>627</v>
      </c>
      <c r="C298" s="100" t="s">
        <v>184</v>
      </c>
      <c r="D298" s="104" t="s">
        <v>186</v>
      </c>
      <c r="E298" s="105">
        <v>42569</v>
      </c>
      <c r="F298" s="145" t="s">
        <v>628</v>
      </c>
      <c r="G298" s="143">
        <v>680</v>
      </c>
      <c r="H298" s="94"/>
      <c r="I298" s="94"/>
      <c r="J298" s="107"/>
      <c r="K298" s="192"/>
    </row>
    <row r="299" spans="1:11" ht="15" hidden="1" customHeight="1" x14ac:dyDescent="0.25">
      <c r="A299" s="130"/>
      <c r="B299" s="99" t="s">
        <v>627</v>
      </c>
      <c r="C299" s="100" t="s">
        <v>184</v>
      </c>
      <c r="D299" s="104" t="s">
        <v>186</v>
      </c>
      <c r="E299" s="105">
        <v>42569</v>
      </c>
      <c r="F299" s="145" t="s">
        <v>629</v>
      </c>
      <c r="G299" s="143">
        <v>680</v>
      </c>
      <c r="H299" s="94"/>
      <c r="I299" s="94"/>
      <c r="J299" s="107"/>
      <c r="K299" s="192"/>
    </row>
    <row r="300" spans="1:11" ht="15" hidden="1" customHeight="1" x14ac:dyDescent="0.25">
      <c r="A300" s="130"/>
      <c r="B300" s="99" t="s">
        <v>627</v>
      </c>
      <c r="C300" s="100" t="s">
        <v>184</v>
      </c>
      <c r="D300" s="104" t="s">
        <v>186</v>
      </c>
      <c r="E300" s="105">
        <v>42569</v>
      </c>
      <c r="F300" s="145" t="s">
        <v>630</v>
      </c>
      <c r="G300" s="143">
        <v>680</v>
      </c>
      <c r="H300" s="94"/>
      <c r="I300" s="94"/>
      <c r="J300" s="107"/>
      <c r="K300" s="192"/>
    </row>
    <row r="301" spans="1:11" ht="15" hidden="1" customHeight="1" x14ac:dyDescent="0.25">
      <c r="A301" s="130"/>
      <c r="B301" s="99" t="s">
        <v>627</v>
      </c>
      <c r="C301" s="100" t="s">
        <v>184</v>
      </c>
      <c r="D301" s="104" t="s">
        <v>186</v>
      </c>
      <c r="E301" s="105">
        <v>42569</v>
      </c>
      <c r="F301" s="145" t="s">
        <v>631</v>
      </c>
      <c r="G301" s="143">
        <v>680</v>
      </c>
      <c r="H301" s="94"/>
      <c r="I301" s="94"/>
      <c r="J301" s="107"/>
      <c r="K301" s="192"/>
    </row>
    <row r="302" spans="1:11" ht="15" hidden="1" customHeight="1" x14ac:dyDescent="0.25">
      <c r="A302" s="130"/>
      <c r="B302" s="99" t="s">
        <v>632</v>
      </c>
      <c r="C302" s="100" t="s">
        <v>184</v>
      </c>
      <c r="D302" s="104" t="s">
        <v>186</v>
      </c>
      <c r="E302" s="147">
        <v>42224</v>
      </c>
      <c r="F302" s="99" t="s">
        <v>633</v>
      </c>
      <c r="G302" s="159">
        <v>6168</v>
      </c>
      <c r="H302" s="94"/>
      <c r="I302" s="94"/>
      <c r="J302" s="107"/>
      <c r="K302" s="192"/>
    </row>
    <row r="303" spans="1:11" ht="15" hidden="1" customHeight="1" x14ac:dyDescent="0.25">
      <c r="A303" s="130"/>
      <c r="B303" s="99" t="s">
        <v>632</v>
      </c>
      <c r="C303" s="100" t="s">
        <v>184</v>
      </c>
      <c r="D303" s="104" t="s">
        <v>186</v>
      </c>
      <c r="E303" s="147">
        <v>42224</v>
      </c>
      <c r="F303" s="99" t="s">
        <v>634</v>
      </c>
      <c r="G303" s="159">
        <v>6168</v>
      </c>
      <c r="H303" s="94"/>
      <c r="I303" s="94"/>
      <c r="J303" s="107"/>
      <c r="K303" s="192"/>
    </row>
    <row r="304" spans="1:11" ht="15" hidden="1" customHeight="1" x14ac:dyDescent="0.25">
      <c r="A304" s="130"/>
      <c r="B304" s="99" t="s">
        <v>632</v>
      </c>
      <c r="C304" s="100" t="s">
        <v>184</v>
      </c>
      <c r="D304" s="104" t="s">
        <v>186</v>
      </c>
      <c r="E304" s="147">
        <v>42224</v>
      </c>
      <c r="F304" s="99" t="s">
        <v>635</v>
      </c>
      <c r="G304" s="159">
        <v>6168</v>
      </c>
      <c r="H304" s="94"/>
      <c r="I304" s="94"/>
      <c r="J304" s="107"/>
      <c r="K304" s="192"/>
    </row>
    <row r="305" spans="1:13" ht="15" hidden="1" customHeight="1" x14ac:dyDescent="0.25">
      <c r="A305" s="130"/>
      <c r="B305" s="99" t="s">
        <v>632</v>
      </c>
      <c r="C305" s="100" t="s">
        <v>184</v>
      </c>
      <c r="D305" s="104" t="s">
        <v>186</v>
      </c>
      <c r="E305" s="147">
        <v>42224</v>
      </c>
      <c r="F305" s="99" t="s">
        <v>636</v>
      </c>
      <c r="G305" s="159">
        <v>6168</v>
      </c>
      <c r="H305" s="94"/>
      <c r="I305" s="94"/>
      <c r="J305" s="107"/>
      <c r="K305" s="192"/>
    </row>
    <row r="306" spans="1:13" ht="15" hidden="1" customHeight="1" x14ac:dyDescent="0.25">
      <c r="A306" s="130"/>
      <c r="B306" s="99" t="s">
        <v>632</v>
      </c>
      <c r="C306" s="100" t="s">
        <v>184</v>
      </c>
      <c r="D306" s="104" t="s">
        <v>186</v>
      </c>
      <c r="E306" s="105">
        <v>42224</v>
      </c>
      <c r="F306" s="145" t="s">
        <v>637</v>
      </c>
      <c r="G306" s="143">
        <v>6168</v>
      </c>
      <c r="H306" s="94"/>
      <c r="I306" s="94"/>
      <c r="J306" s="107"/>
      <c r="K306" s="192"/>
    </row>
    <row r="307" spans="1:13" ht="30" hidden="1" customHeight="1" x14ac:dyDescent="0.25">
      <c r="A307" s="130"/>
      <c r="B307" s="99" t="s">
        <v>638</v>
      </c>
      <c r="C307" s="100" t="s">
        <v>184</v>
      </c>
      <c r="D307" s="104" t="s">
        <v>186</v>
      </c>
      <c r="E307" s="105">
        <v>42655</v>
      </c>
      <c r="F307" s="145" t="s">
        <v>639</v>
      </c>
      <c r="G307" s="143">
        <v>13888</v>
      </c>
      <c r="H307" s="94"/>
      <c r="I307" s="94"/>
      <c r="J307" s="107"/>
      <c r="K307" s="192"/>
    </row>
    <row r="308" spans="1:13" ht="15" hidden="1" customHeight="1" x14ac:dyDescent="0.25">
      <c r="A308" s="130"/>
      <c r="B308" s="99" t="s">
        <v>640</v>
      </c>
      <c r="C308" s="100" t="s">
        <v>184</v>
      </c>
      <c r="D308" s="104" t="s">
        <v>186</v>
      </c>
      <c r="E308" s="105">
        <v>39790</v>
      </c>
      <c r="F308" s="145" t="s">
        <v>641</v>
      </c>
      <c r="G308" s="143">
        <v>12800</v>
      </c>
      <c r="H308" s="94"/>
      <c r="I308" s="94"/>
      <c r="J308" s="107"/>
      <c r="K308" s="192"/>
    </row>
    <row r="309" spans="1:13" ht="15" hidden="1" customHeight="1" x14ac:dyDescent="0.25">
      <c r="A309" s="130"/>
      <c r="B309" s="99" t="s">
        <v>642</v>
      </c>
      <c r="C309" s="100" t="s">
        <v>184</v>
      </c>
      <c r="D309" s="104" t="s">
        <v>186</v>
      </c>
      <c r="E309" s="105">
        <v>40329</v>
      </c>
      <c r="F309" s="145" t="s">
        <v>643</v>
      </c>
      <c r="G309" s="143">
        <v>13326</v>
      </c>
      <c r="H309" s="94"/>
      <c r="I309" s="94"/>
      <c r="J309" s="107"/>
      <c r="K309" s="192"/>
    </row>
    <row r="310" spans="1:13" ht="30" hidden="1" customHeight="1" x14ac:dyDescent="0.25">
      <c r="A310" s="130"/>
      <c r="B310" s="99" t="s">
        <v>644</v>
      </c>
      <c r="C310" s="100" t="s">
        <v>184</v>
      </c>
      <c r="D310" s="104" t="s">
        <v>186</v>
      </c>
      <c r="E310" s="105">
        <v>39959</v>
      </c>
      <c r="F310" s="145" t="s">
        <v>645</v>
      </c>
      <c r="G310" s="143">
        <v>11000</v>
      </c>
      <c r="H310" s="94"/>
      <c r="I310" s="94"/>
      <c r="J310" s="107"/>
      <c r="K310" s="192"/>
    </row>
    <row r="311" spans="1:13" ht="15" hidden="1" customHeight="1" x14ac:dyDescent="0.25">
      <c r="A311" s="130"/>
      <c r="B311" s="99" t="s">
        <v>646</v>
      </c>
      <c r="C311" s="100" t="s">
        <v>184</v>
      </c>
      <c r="D311" s="104" t="s">
        <v>186</v>
      </c>
      <c r="E311" s="105">
        <v>40060</v>
      </c>
      <c r="F311" s="145" t="s">
        <v>647</v>
      </c>
      <c r="G311" s="143">
        <v>545.85</v>
      </c>
      <c r="H311" s="94"/>
      <c r="I311" s="94"/>
      <c r="J311" s="107"/>
      <c r="K311" s="192"/>
    </row>
    <row r="312" spans="1:13" ht="15" hidden="1" customHeight="1" x14ac:dyDescent="0.25">
      <c r="A312" s="130"/>
      <c r="B312" s="99" t="s">
        <v>646</v>
      </c>
      <c r="C312" s="100" t="s">
        <v>184</v>
      </c>
      <c r="D312" s="104" t="s">
        <v>186</v>
      </c>
      <c r="E312" s="105">
        <v>40060</v>
      </c>
      <c r="F312" s="145" t="s">
        <v>648</v>
      </c>
      <c r="G312" s="143">
        <v>545.85</v>
      </c>
      <c r="H312" s="94"/>
      <c r="I312" s="94"/>
      <c r="J312" s="107"/>
      <c r="K312" s="192"/>
    </row>
    <row r="313" spans="1:13" ht="15" hidden="1" customHeight="1" x14ac:dyDescent="0.25">
      <c r="A313" s="130"/>
      <c r="B313" s="99" t="s">
        <v>649</v>
      </c>
      <c r="C313" s="100" t="s">
        <v>184</v>
      </c>
      <c r="D313" s="104" t="s">
        <v>186</v>
      </c>
      <c r="E313" s="147">
        <v>40504</v>
      </c>
      <c r="F313" s="99" t="s">
        <v>650</v>
      </c>
      <c r="G313" s="159">
        <v>4500</v>
      </c>
      <c r="H313" s="94"/>
      <c r="I313" s="94"/>
      <c r="J313" s="107"/>
      <c r="K313" s="192"/>
    </row>
    <row r="314" spans="1:13" ht="15" hidden="1" customHeight="1" x14ac:dyDescent="0.25">
      <c r="A314" s="130"/>
      <c r="B314" s="99" t="s">
        <v>651</v>
      </c>
      <c r="C314" s="100" t="s">
        <v>184</v>
      </c>
      <c r="D314" s="104" t="s">
        <v>186</v>
      </c>
      <c r="E314" s="105">
        <v>40060</v>
      </c>
      <c r="F314" s="145" t="s">
        <v>652</v>
      </c>
      <c r="G314" s="143">
        <v>2000</v>
      </c>
      <c r="H314" s="94"/>
      <c r="I314" s="94"/>
      <c r="J314" s="107"/>
      <c r="K314" s="192"/>
    </row>
    <row r="315" spans="1:13" ht="15" hidden="1" customHeight="1" x14ac:dyDescent="0.25">
      <c r="A315" s="106" t="s">
        <v>653</v>
      </c>
      <c r="B315" s="145"/>
      <c r="C315" s="94"/>
      <c r="D315" s="94"/>
      <c r="E315" s="105"/>
      <c r="F315" s="145"/>
      <c r="G315" s="146"/>
      <c r="H315" s="94"/>
      <c r="I315" s="94"/>
      <c r="J315" s="107"/>
      <c r="K315" s="192"/>
    </row>
    <row r="316" spans="1:13" ht="15" hidden="1" customHeight="1" x14ac:dyDescent="0.25">
      <c r="A316" s="130"/>
      <c r="B316" s="99" t="s">
        <v>654</v>
      </c>
      <c r="C316" s="100" t="s">
        <v>184</v>
      </c>
      <c r="D316" s="104" t="s">
        <v>186</v>
      </c>
      <c r="E316" s="105">
        <v>41430</v>
      </c>
      <c r="F316" s="145" t="s">
        <v>655</v>
      </c>
      <c r="G316" s="143">
        <v>1200</v>
      </c>
      <c r="H316" s="94"/>
      <c r="I316" s="94"/>
      <c r="J316" s="107"/>
      <c r="K316" s="192"/>
    </row>
    <row r="317" spans="1:13" ht="15" hidden="1" customHeight="1" x14ac:dyDescent="0.25">
      <c r="A317" s="428" t="s">
        <v>656</v>
      </c>
      <c r="B317" s="428"/>
      <c r="C317" s="428"/>
      <c r="D317" s="428"/>
      <c r="E317" s="428"/>
      <c r="F317" s="428"/>
      <c r="G317" s="164">
        <f>SUM(G13:G316)</f>
        <v>1339851.5300000003</v>
      </c>
      <c r="H317" s="94"/>
      <c r="I317" s="94"/>
      <c r="J317" s="107"/>
      <c r="K317" s="192"/>
    </row>
    <row r="318" spans="1:13" x14ac:dyDescent="0.25">
      <c r="A318" s="108" t="str">
        <f>+RPCPPE!B10</f>
        <v>BUILDING</v>
      </c>
      <c r="B318" s="123"/>
      <c r="C318" s="123"/>
      <c r="D318" s="123"/>
      <c r="E318" s="123"/>
      <c r="F318" s="123"/>
      <c r="G318" s="164"/>
      <c r="H318" s="94"/>
      <c r="I318" s="94"/>
      <c r="J318" s="107"/>
      <c r="K318" s="192"/>
    </row>
    <row r="319" spans="1:13" x14ac:dyDescent="0.25">
      <c r="A319" s="108"/>
      <c r="B319" s="99" t="str">
        <f>+RPCPPE!D11</f>
        <v>Building - Regional Office</v>
      </c>
      <c r="C319" s="100" t="s">
        <v>184</v>
      </c>
      <c r="D319" s="221" t="s">
        <v>185</v>
      </c>
      <c r="E319" s="177">
        <f>+RPCPPE!G11</f>
        <v>43462</v>
      </c>
      <c r="F319" s="100" t="str">
        <f>+RPCPPE!E11</f>
        <v>2018-NFA-00B-BS-A-0028.5</v>
      </c>
      <c r="G319" s="175">
        <f>+RPCPPE!I11</f>
        <v>1782828.5</v>
      </c>
      <c r="H319" s="197">
        <f>1086117.5+496503</f>
        <v>1582620.5</v>
      </c>
      <c r="I319" s="198">
        <v>44926</v>
      </c>
      <c r="J319" s="107"/>
      <c r="K319" s="192"/>
      <c r="M319" s="184"/>
    </row>
    <row r="320" spans="1:13" x14ac:dyDescent="0.25">
      <c r="A320" s="108"/>
      <c r="B320" s="99" t="str">
        <f>+RPCPPE!D12</f>
        <v>Building - Regional Office</v>
      </c>
      <c r="C320" s="100" t="s">
        <v>184</v>
      </c>
      <c r="D320" s="104" t="s">
        <v>186</v>
      </c>
      <c r="E320" s="177">
        <f>+RPCPPE!G12</f>
        <v>28915</v>
      </c>
      <c r="F320" s="100" t="str">
        <f>+RPCPPE!E12</f>
        <v>1979-NFA-002-BS-A-001</v>
      </c>
      <c r="G320" s="175">
        <f>+RPCPPE!I12</f>
        <v>1476980.09</v>
      </c>
      <c r="H320" s="185">
        <f>22183.8+12995+5899+17011.81+40564.77+25163.31+24299.4</f>
        <v>148117.09</v>
      </c>
      <c r="I320" s="198">
        <v>44926</v>
      </c>
      <c r="J320" s="107"/>
      <c r="K320" s="192"/>
      <c r="M320" s="184"/>
    </row>
    <row r="321" spans="1:13" s="139" customFormat="1" x14ac:dyDescent="0.25">
      <c r="A321" s="108"/>
      <c r="B321" s="178" t="s">
        <v>672</v>
      </c>
      <c r="C321" s="123"/>
      <c r="D321" s="133"/>
      <c r="E321" s="179"/>
      <c r="F321" s="123"/>
      <c r="G321" s="122">
        <f>SUM(G319:G320)</f>
        <v>3259808.59</v>
      </c>
      <c r="H321" s="122">
        <f>SUM(H319:H320)</f>
        <v>1730737.59</v>
      </c>
      <c r="I321" s="198"/>
      <c r="J321" s="131"/>
      <c r="K321" s="194"/>
      <c r="L321" s="135"/>
      <c r="M321" s="184"/>
    </row>
    <row r="322" spans="1:13" x14ac:dyDescent="0.25">
      <c r="A322" s="108" t="str">
        <f>+RPCPPE!B14</f>
        <v>COMMUNICATION EQUIPMENT</v>
      </c>
      <c r="B322" s="99"/>
      <c r="C322" s="100"/>
      <c r="D322" s="104"/>
      <c r="E322" s="177"/>
      <c r="F322" s="100"/>
      <c r="G322" s="175"/>
      <c r="H322" s="94"/>
      <c r="I322" s="198"/>
      <c r="J322" s="107"/>
      <c r="K322" s="192"/>
      <c r="M322" s="184"/>
    </row>
    <row r="323" spans="1:13" s="136" customFormat="1" x14ac:dyDescent="0.25">
      <c r="A323" s="108"/>
      <c r="B323" s="99" t="e">
        <f>+RPCPPE!#REF!</f>
        <v>#REF!</v>
      </c>
      <c r="C323" s="100" t="s">
        <v>184</v>
      </c>
      <c r="D323" s="104" t="s">
        <v>186</v>
      </c>
      <c r="E323" s="177"/>
      <c r="F323" s="100" t="e">
        <f>+RPCPPE!#REF!</f>
        <v>#REF!</v>
      </c>
      <c r="G323" s="175" t="e">
        <f>+RPCPPE!#REF!</f>
        <v>#REF!</v>
      </c>
      <c r="H323" s="185">
        <v>3149.74</v>
      </c>
      <c r="I323" s="198">
        <v>44926</v>
      </c>
      <c r="J323" s="94"/>
      <c r="K323" s="116"/>
      <c r="M323" s="200"/>
    </row>
    <row r="324" spans="1:13" ht="45" x14ac:dyDescent="0.25">
      <c r="A324" s="108"/>
      <c r="B324" s="99" t="str">
        <f>+RPCPPE!D24</f>
        <v>SYNOLOGY DS923+ 4BAY DISKSTATION NETWORK ATTACHED STORAGE (NAS) WITH 4PCS NAS 3.5" SATA HARDRIVE AND 16GB SODIMM MEMORY</v>
      </c>
      <c r="C324" s="100" t="s">
        <v>184</v>
      </c>
      <c r="D324" s="104" t="s">
        <v>186</v>
      </c>
      <c r="E324" s="177">
        <f>+RPCPPE!G24</f>
        <v>45127</v>
      </c>
      <c r="F324" s="100" t="str">
        <f>+RPCPPE!E24</f>
        <v>2023-NFA-00B-DP-B-001</v>
      </c>
      <c r="G324" s="175">
        <f>+RPCPPE!I24</f>
        <v>70670</v>
      </c>
      <c r="H324" s="185">
        <v>247131.38</v>
      </c>
      <c r="I324" s="198">
        <v>44926</v>
      </c>
      <c r="J324" s="107"/>
      <c r="K324" s="192"/>
      <c r="M324" s="184"/>
    </row>
    <row r="325" spans="1:13" x14ac:dyDescent="0.25">
      <c r="A325" s="108"/>
      <c r="B325" s="178" t="s">
        <v>672</v>
      </c>
      <c r="C325" s="214"/>
      <c r="D325" s="133"/>
      <c r="E325" s="179"/>
      <c r="F325" s="214"/>
      <c r="G325" s="122" t="e">
        <f>SUM(G323:G324)</f>
        <v>#REF!</v>
      </c>
      <c r="H325" s="122">
        <f>SUM(H323:H324)</f>
        <v>250281.12</v>
      </c>
      <c r="I325" s="198"/>
      <c r="J325" s="107"/>
      <c r="K325" s="192"/>
      <c r="M325" s="184"/>
    </row>
    <row r="326" spans="1:13" x14ac:dyDescent="0.25">
      <c r="A326" s="108" t="str">
        <f>+RPCPPE!B21</f>
        <v>IT EQUIPMENT AND SOFTWARE</v>
      </c>
      <c r="B326" s="99"/>
      <c r="C326" s="100"/>
      <c r="D326" s="104"/>
      <c r="E326" s="177"/>
      <c r="F326" s="100"/>
      <c r="G326" s="175"/>
      <c r="H326" s="185"/>
      <c r="I326" s="198"/>
      <c r="J326" s="107"/>
      <c r="K326" s="192"/>
      <c r="M326" s="184"/>
    </row>
    <row r="327" spans="1:13" x14ac:dyDescent="0.25">
      <c r="A327" s="108"/>
      <c r="B327" s="99" t="str">
        <f>+RPCPPE!D22</f>
        <v>SERVER, HP PROLIANT (UPGRADED)</v>
      </c>
      <c r="C327" s="100" t="s">
        <v>184</v>
      </c>
      <c r="D327" s="104" t="s">
        <v>186</v>
      </c>
      <c r="E327" s="177">
        <f>+RPCPPE!G22</f>
        <v>39086</v>
      </c>
      <c r="F327" s="100" t="str">
        <f>+RPCPPE!E22</f>
        <v>2007-NFA-002-DP-F-001</v>
      </c>
      <c r="G327" s="175">
        <f>+RPCPPE!I22</f>
        <v>244431.05</v>
      </c>
      <c r="H327" s="185">
        <v>12221.56</v>
      </c>
      <c r="I327" s="198">
        <v>44926</v>
      </c>
      <c r="J327" s="107"/>
      <c r="K327" s="192"/>
      <c r="M327" s="184"/>
    </row>
    <row r="328" spans="1:13" x14ac:dyDescent="0.25">
      <c r="A328" s="108"/>
      <c r="B328" s="99" t="e">
        <f>+RPCPPE!#REF!</f>
        <v>#REF!</v>
      </c>
      <c r="C328" s="100" t="s">
        <v>184</v>
      </c>
      <c r="D328" s="104" t="s">
        <v>186</v>
      </c>
      <c r="E328" s="177" t="e">
        <f>+RPCPPE!#REF!</f>
        <v>#REF!</v>
      </c>
      <c r="F328" s="100" t="e">
        <f>+RPCPPE!#REF!</f>
        <v>#REF!</v>
      </c>
      <c r="G328" s="175" t="e">
        <f>+RPCPPE!#REF!</f>
        <v>#REF!</v>
      </c>
      <c r="H328" s="185">
        <v>2883.26</v>
      </c>
      <c r="I328" s="198">
        <v>44926</v>
      </c>
      <c r="J328" s="107"/>
      <c r="K328" s="192"/>
      <c r="M328" s="184"/>
    </row>
    <row r="329" spans="1:13" x14ac:dyDescent="0.25">
      <c r="A329" s="108"/>
      <c r="B329" s="178" t="s">
        <v>672</v>
      </c>
      <c r="C329" s="100"/>
      <c r="D329" s="104"/>
      <c r="E329" s="177"/>
      <c r="F329" s="100"/>
      <c r="G329" s="199" t="e">
        <f>SUM(G327:G328)</f>
        <v>#REF!</v>
      </c>
      <c r="H329" s="199">
        <f>SUM(H327:H328)</f>
        <v>15104.82</v>
      </c>
      <c r="I329" s="198"/>
      <c r="J329" s="107"/>
      <c r="K329" s="192"/>
      <c r="M329" s="184"/>
    </row>
    <row r="330" spans="1:13" hidden="1" x14ac:dyDescent="0.25">
      <c r="A330" s="108" t="str">
        <f>+RPCPPE!B21</f>
        <v>IT EQUIPMENT AND SOFTWARE</v>
      </c>
      <c r="B330" s="99"/>
      <c r="C330" s="100"/>
      <c r="D330" s="104"/>
      <c r="E330" s="177"/>
      <c r="F330" s="100"/>
      <c r="G330" s="175"/>
      <c r="H330" s="94"/>
      <c r="I330" s="198"/>
      <c r="J330" s="107"/>
      <c r="K330" s="192"/>
      <c r="M330" s="184"/>
    </row>
    <row r="331" spans="1:13" s="136" customFormat="1" hidden="1" x14ac:dyDescent="0.25">
      <c r="A331" s="108"/>
      <c r="B331" s="99"/>
      <c r="C331" s="100"/>
      <c r="D331" s="104"/>
      <c r="E331" s="177"/>
      <c r="F331" s="100"/>
      <c r="G331" s="175"/>
      <c r="H331" s="185"/>
      <c r="I331" s="198"/>
      <c r="J331" s="94"/>
      <c r="K331" s="116"/>
      <c r="M331" s="200"/>
    </row>
    <row r="332" spans="1:13" s="136" customFormat="1" hidden="1" x14ac:dyDescent="0.25">
      <c r="A332" s="108"/>
      <c r="B332" s="99"/>
      <c r="C332" s="100"/>
      <c r="D332" s="104"/>
      <c r="E332" s="177"/>
      <c r="F332" s="100"/>
      <c r="G332" s="175"/>
      <c r="H332" s="185"/>
      <c r="I332" s="198"/>
      <c r="J332" s="94"/>
      <c r="K332" s="116"/>
      <c r="M332" s="200"/>
    </row>
    <row r="333" spans="1:13" s="136" customFormat="1" hidden="1" x14ac:dyDescent="0.25">
      <c r="A333" s="108"/>
      <c r="B333" s="99"/>
      <c r="C333" s="100"/>
      <c r="D333" s="104"/>
      <c r="E333" s="177"/>
      <c r="F333" s="100"/>
      <c r="G333" s="175"/>
      <c r="H333" s="185"/>
      <c r="I333" s="198"/>
      <c r="J333" s="94"/>
      <c r="K333" s="116"/>
      <c r="M333" s="200"/>
    </row>
    <row r="334" spans="1:13" hidden="1" x14ac:dyDescent="0.25">
      <c r="A334" s="108"/>
      <c r="B334" s="178" t="s">
        <v>672</v>
      </c>
      <c r="C334" s="100"/>
      <c r="D334" s="104"/>
      <c r="E334" s="177"/>
      <c r="F334" s="100"/>
      <c r="G334" s="199">
        <f>SUM(G331:G333)</f>
        <v>0</v>
      </c>
      <c r="H334" s="199">
        <f>SUM(H331:H333)</f>
        <v>0</v>
      </c>
      <c r="I334" s="198"/>
      <c r="J334" s="107"/>
      <c r="K334" s="192"/>
      <c r="M334" s="184"/>
    </row>
    <row r="335" spans="1:13" x14ac:dyDescent="0.25">
      <c r="A335" s="108" t="str">
        <f>+RPCPPE!B27</f>
        <v>FURNITURE, FIXTURES &amp; BOOKS</v>
      </c>
      <c r="B335" s="99"/>
      <c r="C335" s="100"/>
      <c r="D335" s="104"/>
      <c r="E335" s="177"/>
      <c r="F335" s="100"/>
      <c r="G335" s="175"/>
      <c r="H335" s="94"/>
      <c r="I335" s="198"/>
      <c r="J335" s="107"/>
      <c r="K335" s="192"/>
      <c r="M335" s="184"/>
    </row>
    <row r="336" spans="1:13" x14ac:dyDescent="0.25">
      <c r="A336" s="108"/>
      <c r="B336" s="99" t="e">
        <f>+RPCPPE!#REF!</f>
        <v>#REF!</v>
      </c>
      <c r="C336" s="100" t="s">
        <v>184</v>
      </c>
      <c r="D336" s="104" t="s">
        <v>186</v>
      </c>
      <c r="E336" s="177"/>
      <c r="F336" s="100" t="e">
        <f>+RPCPPE!#REF!</f>
        <v>#REF!</v>
      </c>
      <c r="G336" s="175" t="e">
        <f>+RPCPPE!#REF!</f>
        <v>#REF!</v>
      </c>
      <c r="H336" s="185">
        <v>8157.58</v>
      </c>
      <c r="I336" s="198">
        <v>44926</v>
      </c>
      <c r="J336" s="107"/>
      <c r="K336" s="192"/>
      <c r="M336" s="184"/>
    </row>
    <row r="337" spans="1:16" x14ac:dyDescent="0.25">
      <c r="A337" s="108"/>
      <c r="B337" s="99" t="str">
        <f>+RPCPPE!D30</f>
        <v>WINDOW BLINDS (Blue)</v>
      </c>
      <c r="C337" s="100" t="s">
        <v>184</v>
      </c>
      <c r="D337" s="104" t="s">
        <v>186</v>
      </c>
      <c r="E337" s="177">
        <f>+RPCPPE!G30</f>
        <v>45148</v>
      </c>
      <c r="F337" s="100" t="str">
        <f>+RPCPPE!E30</f>
        <v>2023-NFA-00B-FF-L-003</v>
      </c>
      <c r="G337" s="175">
        <f>+RPCPPE!I30</f>
        <v>83650</v>
      </c>
      <c r="H337" s="185">
        <v>78872</v>
      </c>
      <c r="I337" s="198">
        <v>44926</v>
      </c>
      <c r="J337" s="107"/>
      <c r="K337" s="192"/>
      <c r="M337" s="184"/>
    </row>
    <row r="338" spans="1:16" x14ac:dyDescent="0.25">
      <c r="A338" s="108"/>
      <c r="B338" s="178" t="s">
        <v>672</v>
      </c>
      <c r="C338" s="100"/>
      <c r="D338" s="104"/>
      <c r="E338" s="177"/>
      <c r="F338" s="100"/>
      <c r="G338" s="199" t="e">
        <f>SUM(G336:G337)</f>
        <v>#REF!</v>
      </c>
      <c r="H338" s="199">
        <f>SUM(H336:H337)</f>
        <v>87029.58</v>
      </c>
      <c r="I338" s="198"/>
      <c r="J338" s="107"/>
      <c r="K338" s="192"/>
      <c r="M338" s="184"/>
    </row>
    <row r="339" spans="1:16" x14ac:dyDescent="0.25">
      <c r="A339" s="108" t="str">
        <f>+RPCPPE!B34</f>
        <v>MOTOR VEHICLES, LAND TRANS. EQUIPT AND ACCESORIES</v>
      </c>
      <c r="B339" s="99"/>
      <c r="C339" s="100"/>
      <c r="D339" s="104"/>
      <c r="E339" s="177"/>
      <c r="F339" s="100"/>
      <c r="G339" s="175"/>
      <c r="H339" s="94"/>
      <c r="I339" s="198"/>
      <c r="J339" s="107"/>
      <c r="K339" s="192"/>
      <c r="M339" s="184"/>
    </row>
    <row r="340" spans="1:16" ht="30" x14ac:dyDescent="0.25">
      <c r="A340" s="108"/>
      <c r="B340" s="99" t="str">
        <f>+RPCPPE!D35</f>
        <v xml:space="preserve">TOYOTA INNOVA DSL MODEL 2005 ENGINE # 2KD-9547460 </v>
      </c>
      <c r="C340" s="100" t="s">
        <v>184</v>
      </c>
      <c r="D340" s="104" t="s">
        <v>186</v>
      </c>
      <c r="E340" s="177">
        <f>+RPCPPE!G35</f>
        <v>38737</v>
      </c>
      <c r="F340" s="100" t="str">
        <f>+RPCPPE!E35</f>
        <v>2006-NFA-GSD-LT-C-132</v>
      </c>
      <c r="G340" s="175">
        <f>+RPCPPE!I35</f>
        <v>848000</v>
      </c>
      <c r="H340" s="185">
        <f>+G340*0.05</f>
        <v>42400</v>
      </c>
      <c r="I340" s="198">
        <v>44926</v>
      </c>
      <c r="J340" s="107"/>
      <c r="K340" s="192"/>
      <c r="M340" s="184"/>
      <c r="N340" s="165"/>
      <c r="O340" s="165"/>
      <c r="P340" s="165"/>
    </row>
    <row r="341" spans="1:16" ht="30" x14ac:dyDescent="0.25">
      <c r="A341" s="108"/>
      <c r="B341" s="99" t="str">
        <f>+RPCPPE!D36</f>
        <v>ISUZU CROSSWIND SPORTIVO ENGINE # 4JA1M57459 CHASSIS # PABTBBR54FG2089995</v>
      </c>
      <c r="C341" s="100" t="s">
        <v>184</v>
      </c>
      <c r="D341" s="104" t="s">
        <v>186</v>
      </c>
      <c r="E341" s="177">
        <f>+RPCPPE!G36</f>
        <v>42636</v>
      </c>
      <c r="F341" s="100" t="str">
        <f>+RPCPPE!E36</f>
        <v>2016-NFA-GSD-LT-C-203</v>
      </c>
      <c r="G341" s="175">
        <f>+RPCPPE!I36</f>
        <v>1180000</v>
      </c>
      <c r="H341" s="185">
        <v>179125</v>
      </c>
      <c r="I341" s="198">
        <v>44926</v>
      </c>
      <c r="J341" s="107"/>
      <c r="K341" s="192"/>
      <c r="M341" s="184"/>
      <c r="N341" s="165"/>
      <c r="O341" s="186"/>
      <c r="P341" s="187"/>
    </row>
    <row r="342" spans="1:16" ht="30" x14ac:dyDescent="0.25">
      <c r="A342" s="108"/>
      <c r="B342" s="99" t="str">
        <f>+RPCPPE!D37</f>
        <v>2021 MITSUBISHI STRADA GLS 2.4D 2WD, 4N15UHC6103 SILVER METALIC, AT</v>
      </c>
      <c r="C342" s="100" t="s">
        <v>184</v>
      </c>
      <c r="D342" s="104" t="s">
        <v>186</v>
      </c>
      <c r="E342" s="177">
        <f>+RPCPPE!G37</f>
        <v>44439</v>
      </c>
      <c r="F342" s="100" t="str">
        <f>+RPCPPE!E37</f>
        <v>2021-NFA-GSD-LT-C-229</v>
      </c>
      <c r="G342" s="175">
        <f>+RPCPPE!I37</f>
        <v>1397400</v>
      </c>
      <c r="H342" s="185">
        <v>1144536</v>
      </c>
      <c r="I342" s="198">
        <v>44926</v>
      </c>
      <c r="J342" s="107"/>
      <c r="K342" s="192"/>
      <c r="M342" s="184"/>
      <c r="N342" s="165"/>
      <c r="O342" s="165"/>
      <c r="P342" s="165"/>
    </row>
    <row r="343" spans="1:16" x14ac:dyDescent="0.25">
      <c r="A343" s="108"/>
      <c r="B343" s="178" t="s">
        <v>672</v>
      </c>
      <c r="C343" s="100"/>
      <c r="D343" s="104"/>
      <c r="E343" s="177"/>
      <c r="F343" s="100"/>
      <c r="G343" s="199">
        <f>SUM(G340:G342)</f>
        <v>3425400</v>
      </c>
      <c r="H343" s="199">
        <f>SUM(H340:H342)</f>
        <v>1366061</v>
      </c>
      <c r="I343" s="198"/>
      <c r="J343" s="107"/>
      <c r="K343" s="192"/>
      <c r="M343" s="184"/>
    </row>
    <row r="344" spans="1:16" x14ac:dyDescent="0.25">
      <c r="A344" s="108" t="str">
        <f>+RPCPPE!B39</f>
        <v>OFFICE EQUIPMENT</v>
      </c>
      <c r="B344" s="99"/>
      <c r="C344" s="100"/>
      <c r="D344" s="104"/>
      <c r="E344" s="177"/>
      <c r="F344" s="100"/>
      <c r="G344" s="175"/>
      <c r="H344" s="94"/>
      <c r="I344" s="198"/>
      <c r="J344" s="107"/>
      <c r="K344" s="192"/>
      <c r="M344" s="184"/>
    </row>
    <row r="345" spans="1:16" ht="30" x14ac:dyDescent="0.25">
      <c r="A345" s="108"/>
      <c r="B345" s="99" t="str">
        <f>+RPCPPE!D40</f>
        <v>ROOM AIRCONDITIONER, SPLIT TYPE-WALL MOUNTED, 2.0 HP, W/ INVERTER , PANASONIC</v>
      </c>
      <c r="C345" s="100" t="s">
        <v>184</v>
      </c>
      <c r="D345" s="104" t="s">
        <v>186</v>
      </c>
      <c r="E345" s="177">
        <f>+RPCPPE!G40</f>
        <v>40919</v>
      </c>
      <c r="F345" s="100" t="str">
        <f>+RPCPPE!E40</f>
        <v>2012-NFA-0B0-OE-C-010</v>
      </c>
      <c r="G345" s="175">
        <f>+RPCPPE!I40</f>
        <v>55000</v>
      </c>
      <c r="H345" s="185">
        <v>2750</v>
      </c>
      <c r="I345" s="198">
        <v>44926</v>
      </c>
      <c r="J345" s="107"/>
      <c r="K345" s="192"/>
      <c r="M345" s="184"/>
    </row>
    <row r="346" spans="1:16" ht="30" x14ac:dyDescent="0.25">
      <c r="A346" s="108"/>
      <c r="B346" s="99" t="str">
        <f>+RPCPPE!D41</f>
        <v>AIRCONDITIONER , PACKED TYPE-FLOOR MOUNTED , 3 TONS,  KOPPEL</v>
      </c>
      <c r="C346" s="100" t="s">
        <v>184</v>
      </c>
      <c r="D346" s="104" t="s">
        <v>186</v>
      </c>
      <c r="E346" s="177">
        <f>+RPCPPE!G41</f>
        <v>41269</v>
      </c>
      <c r="F346" s="100" t="str">
        <f>+RPCPPE!E41</f>
        <v>2012-NFA-0B0-OE-C-011</v>
      </c>
      <c r="G346" s="175">
        <f>+RPCPPE!I41</f>
        <v>81600</v>
      </c>
      <c r="H346" s="185">
        <v>4080</v>
      </c>
      <c r="I346" s="198">
        <v>44926</v>
      </c>
      <c r="J346" s="107"/>
      <c r="K346" s="192"/>
      <c r="M346" s="184"/>
    </row>
    <row r="347" spans="1:16" ht="30" x14ac:dyDescent="0.25">
      <c r="A347" s="108"/>
      <c r="B347" s="99" t="str">
        <f>+RPCPPE!D42</f>
        <v>AIRCONDITIONER , PACKED TYPE-FLOOR MOUNTED , 3 TONS,  KOPPEL</v>
      </c>
      <c r="C347" s="100" t="s">
        <v>184</v>
      </c>
      <c r="D347" s="104" t="s">
        <v>186</v>
      </c>
      <c r="E347" s="177">
        <f>+RPCPPE!G42</f>
        <v>41269</v>
      </c>
      <c r="F347" s="100" t="str">
        <f>+RPCPPE!E42</f>
        <v>2012-NFA-0B0-OE-C-013</v>
      </c>
      <c r="G347" s="175">
        <f>+RPCPPE!I42</f>
        <v>81600</v>
      </c>
      <c r="H347" s="185">
        <v>4080</v>
      </c>
      <c r="I347" s="198">
        <v>44926</v>
      </c>
      <c r="J347" s="107"/>
      <c r="K347" s="192"/>
      <c r="M347" s="184"/>
    </row>
    <row r="348" spans="1:16" ht="15" customHeight="1" x14ac:dyDescent="0.25">
      <c r="A348" s="108"/>
      <c r="B348" s="99" t="str">
        <f>+RPCPPE!D43</f>
        <v>CHILLER, 2 DOOR SHOWCASE TYPE, CAPACITY 1,000 LTRS</v>
      </c>
      <c r="C348" s="100" t="s">
        <v>184</v>
      </c>
      <c r="D348" s="104" t="s">
        <v>186</v>
      </c>
      <c r="E348" s="177">
        <f>+RPCPPE!G43</f>
        <v>42718</v>
      </c>
      <c r="F348" s="100" t="str">
        <f>+RPCPPE!E43</f>
        <v>2016-NFA-00B-OE-T-003</v>
      </c>
      <c r="G348" s="175">
        <f>+RPCPPE!I43</f>
        <v>68000</v>
      </c>
      <c r="H348" s="185">
        <v>3400</v>
      </c>
      <c r="I348" s="198">
        <v>44926</v>
      </c>
      <c r="J348" s="107"/>
      <c r="K348" s="192"/>
      <c r="M348" s="184"/>
    </row>
    <row r="349" spans="1:16" x14ac:dyDescent="0.25">
      <c r="A349" s="108"/>
      <c r="B349" s="99" t="str">
        <f>+RPCPPE!D44</f>
        <v>KOPPEL 3.0 TR FLOOR MOUNTED INVERTER</v>
      </c>
      <c r="C349" s="100" t="s">
        <v>184</v>
      </c>
      <c r="D349" s="104" t="s">
        <v>186</v>
      </c>
      <c r="E349" s="177">
        <f>+RPCPPE!G44</f>
        <v>44656</v>
      </c>
      <c r="F349" s="100" t="str">
        <f>+RPCPPE!E44</f>
        <v>2022-NFA-00B-OE-C-020</v>
      </c>
      <c r="G349" s="175">
        <f>+RPCPPE!I44</f>
        <v>106000</v>
      </c>
      <c r="H349" s="185">
        <v>90898</v>
      </c>
      <c r="I349" s="198">
        <v>44926</v>
      </c>
      <c r="J349" s="107"/>
      <c r="K349" s="192"/>
      <c r="M349" s="184"/>
    </row>
    <row r="350" spans="1:16" x14ac:dyDescent="0.25">
      <c r="A350" s="108"/>
      <c r="B350" s="178" t="s">
        <v>672</v>
      </c>
      <c r="C350" s="100"/>
      <c r="D350" s="104"/>
      <c r="E350" s="177"/>
      <c r="F350" s="100"/>
      <c r="G350" s="199">
        <f>SUM(G345:G349)</f>
        <v>392200</v>
      </c>
      <c r="H350" s="199">
        <f>SUM(H345:H349)</f>
        <v>105208</v>
      </c>
      <c r="I350" s="198"/>
      <c r="J350" s="107"/>
      <c r="K350" s="192"/>
      <c r="M350" s="184"/>
    </row>
    <row r="351" spans="1:16" x14ac:dyDescent="0.25">
      <c r="A351" s="108" t="str">
        <f>+RPCPPE!B50</f>
        <v>TECHNICAL &amp; SCIENTIFIC EQUIPMENT EQUIPMENT</v>
      </c>
      <c r="B351" s="99"/>
      <c r="C351" s="100"/>
      <c r="D351" s="104"/>
      <c r="E351" s="177"/>
      <c r="F351" s="100"/>
      <c r="G351" s="175"/>
      <c r="H351" s="94"/>
      <c r="I351" s="198"/>
      <c r="J351" s="107"/>
      <c r="K351" s="192"/>
      <c r="M351" s="184"/>
    </row>
    <row r="352" spans="1:16" ht="30" x14ac:dyDescent="0.25">
      <c r="A352" s="108"/>
      <c r="B352" s="99" t="str">
        <f>+RPCPPE!D51</f>
        <v>OHAUS ANALYTICAL BALANCE ADVENTURE 210G X 0.1 MODEL :AR 2140</v>
      </c>
      <c r="C352" s="100" t="s">
        <v>184</v>
      </c>
      <c r="D352" s="104" t="s">
        <v>186</v>
      </c>
      <c r="E352" s="177">
        <f>+RPCPPE!G51</f>
        <v>38952</v>
      </c>
      <c r="F352" s="100" t="str">
        <f>+RPCPPE!E51</f>
        <v>2006-NFA-00B-TS-D-001</v>
      </c>
      <c r="G352" s="175">
        <f>+RPCPPE!I51</f>
        <v>80590</v>
      </c>
      <c r="H352" s="185">
        <f>+G352*0.05</f>
        <v>4029.5</v>
      </c>
      <c r="I352" s="198">
        <v>44926</v>
      </c>
      <c r="J352" s="107"/>
      <c r="K352" s="192"/>
      <c r="M352" s="184"/>
    </row>
    <row r="353" spans="1:13" ht="30" x14ac:dyDescent="0.25">
      <c r="A353" s="108"/>
      <c r="B353" s="99" t="str">
        <f>+RPCPPE!D52</f>
        <v>OVEN LABORATORY FOR DRYING BINDER BRAND, GERMANY MODEL;ED 53</v>
      </c>
      <c r="C353" s="100" t="s">
        <v>184</v>
      </c>
      <c r="D353" s="104" t="s">
        <v>186</v>
      </c>
      <c r="E353" s="177">
        <f>+RPCPPE!G52</f>
        <v>39352</v>
      </c>
      <c r="F353" s="100" t="str">
        <f>+RPCPPE!E52</f>
        <v>2007-NFA-TRD-TS-D-315</v>
      </c>
      <c r="G353" s="175">
        <f>+RPCPPE!I52</f>
        <v>55000</v>
      </c>
      <c r="H353" s="185">
        <f>+G353*0.05</f>
        <v>2750</v>
      </c>
      <c r="I353" s="198">
        <v>44926</v>
      </c>
      <c r="J353" s="107"/>
      <c r="K353" s="192"/>
      <c r="M353" s="184"/>
    </row>
    <row r="354" spans="1:13" ht="30" x14ac:dyDescent="0.25">
      <c r="A354" s="108"/>
      <c r="B354" s="99" t="str">
        <f>+RPCPPE!D53</f>
        <v>LABORATORY SAMPLE GRINDER ROMER MILL SERIES W/ ACCESSORIES</v>
      </c>
      <c r="C354" s="100" t="s">
        <v>184</v>
      </c>
      <c r="D354" s="104" t="s">
        <v>186</v>
      </c>
      <c r="E354" s="177">
        <f>+RPCPPE!G53</f>
        <v>40595</v>
      </c>
      <c r="F354" s="100" t="str">
        <f>+RPCPPE!E53</f>
        <v>2011-NFA-TRD-TS-D-1163</v>
      </c>
      <c r="G354" s="175">
        <f>+RPCPPE!I53</f>
        <v>299500</v>
      </c>
      <c r="H354" s="185">
        <f>+G354*0.05</f>
        <v>14975</v>
      </c>
      <c r="I354" s="198">
        <v>44926</v>
      </c>
      <c r="J354" s="107"/>
      <c r="K354" s="192"/>
      <c r="M354" s="184"/>
    </row>
    <row r="355" spans="1:13" ht="30" x14ac:dyDescent="0.25">
      <c r="A355" s="108"/>
      <c r="B355" s="99" t="str">
        <f>+RPCPPE!D54</f>
        <v>ANALYTICAL BALANCE CAPACITY 220G X 0.1MG (BRAND: OHAUS)</v>
      </c>
      <c r="C355" s="100" t="s">
        <v>184</v>
      </c>
      <c r="D355" s="104" t="s">
        <v>186</v>
      </c>
      <c r="E355" s="177">
        <f>+RPCPPE!G54</f>
        <v>42857</v>
      </c>
      <c r="F355" s="100" t="str">
        <f>+RPCPPE!E54</f>
        <v>2017-NFA-TRS-TS-D-703</v>
      </c>
      <c r="G355" s="175">
        <f>+RPCPPE!I54</f>
        <v>63930</v>
      </c>
      <c r="H355" s="185">
        <v>29522</v>
      </c>
      <c r="I355" s="198">
        <v>44926</v>
      </c>
      <c r="J355" s="107"/>
      <c r="K355" s="192"/>
      <c r="M355" s="184"/>
    </row>
    <row r="356" spans="1:13" ht="30" x14ac:dyDescent="0.25">
      <c r="A356" s="108"/>
      <c r="B356" s="99" t="str">
        <f>+RPCPPE!D55</f>
        <v>LABORATORY POLISHING MACHINE W/ BASIC TOOLS ACCESSORIES</v>
      </c>
      <c r="C356" s="100" t="s">
        <v>184</v>
      </c>
      <c r="D356" s="104" t="s">
        <v>186</v>
      </c>
      <c r="E356" s="177">
        <f>+RPCPPE!G55</f>
        <v>41591</v>
      </c>
      <c r="F356" s="100" t="str">
        <f>+RPCPPE!E55</f>
        <v>2013-NFA-TRS-TS-P-008</v>
      </c>
      <c r="G356" s="175">
        <f>+RPCPPE!I55</f>
        <v>248000</v>
      </c>
      <c r="H356" s="185">
        <v>30164</v>
      </c>
      <c r="I356" s="198">
        <v>44926</v>
      </c>
      <c r="J356" s="107"/>
      <c r="K356" s="192"/>
      <c r="M356" s="184"/>
    </row>
    <row r="357" spans="1:13" x14ac:dyDescent="0.25">
      <c r="A357" s="108"/>
      <c r="B357" s="99" t="str">
        <f>+RPCPPE!D56</f>
        <v>LABORATORY POLISHING MACHINE</v>
      </c>
      <c r="C357" s="100" t="s">
        <v>184</v>
      </c>
      <c r="D357" s="104" t="s">
        <v>186</v>
      </c>
      <c r="E357" s="177">
        <f>+RPCPPE!G56</f>
        <v>44421</v>
      </c>
      <c r="F357" s="100" t="str">
        <f>+RPCPPE!E56</f>
        <v>2021-NFA-OCD-TS-P-025</v>
      </c>
      <c r="G357" s="175">
        <f>+RPCPPE!I56</f>
        <v>471744</v>
      </c>
      <c r="H357" s="185">
        <v>408249</v>
      </c>
      <c r="I357" s="198">
        <v>44926</v>
      </c>
      <c r="J357" s="107"/>
      <c r="K357" s="192"/>
      <c r="M357" s="184"/>
    </row>
    <row r="358" spans="1:13" x14ac:dyDescent="0.25">
      <c r="A358" s="108"/>
      <c r="B358" s="99" t="str">
        <f>+RPCPPE!D57</f>
        <v>LABORATORY HULLER</v>
      </c>
      <c r="C358" s="100" t="s">
        <v>184</v>
      </c>
      <c r="D358" s="104" t="s">
        <v>186</v>
      </c>
      <c r="E358" s="177">
        <f>+RPCPPE!G57</f>
        <v>44524</v>
      </c>
      <c r="F358" s="100" t="str">
        <f>+RPCPPE!E57</f>
        <v>2021-NFA-TRS-TS-D-1221</v>
      </c>
      <c r="G358" s="175">
        <f>+RPCPPE!I57</f>
        <v>285600</v>
      </c>
      <c r="H358" s="185">
        <v>256207</v>
      </c>
      <c r="I358" s="198">
        <v>44926</v>
      </c>
      <c r="J358" s="107"/>
      <c r="K358" s="192"/>
      <c r="M358" s="184"/>
    </row>
    <row r="359" spans="1:13" x14ac:dyDescent="0.25">
      <c r="A359" s="108"/>
      <c r="B359" s="178" t="s">
        <v>672</v>
      </c>
      <c r="C359" s="100"/>
      <c r="D359" s="104"/>
      <c r="E359" s="177"/>
      <c r="F359" s="100"/>
      <c r="G359" s="199">
        <f>SUM(G352:G358)</f>
        <v>1504364</v>
      </c>
      <c r="H359" s="199">
        <f>SUM(H352:H358)</f>
        <v>745896.5</v>
      </c>
      <c r="I359" s="198"/>
      <c r="J359" s="107"/>
      <c r="K359" s="192"/>
      <c r="M359" s="184"/>
    </row>
    <row r="360" spans="1:13" x14ac:dyDescent="0.25">
      <c r="A360" s="108" t="str">
        <f>+RPCPPE!B71</f>
        <v>PLANT MACHINERY &amp; EQUIPMENT</v>
      </c>
      <c r="B360" s="99"/>
      <c r="C360" s="100"/>
      <c r="D360" s="104"/>
      <c r="E360" s="177"/>
      <c r="F360" s="100"/>
      <c r="G360" s="175"/>
      <c r="H360" s="94"/>
      <c r="I360" s="198"/>
      <c r="J360" s="107"/>
      <c r="K360" s="192"/>
      <c r="M360" s="184"/>
    </row>
    <row r="361" spans="1:13" x14ac:dyDescent="0.25">
      <c r="A361" s="108"/>
      <c r="B361" s="183" t="str">
        <f>+RPCPPE!D72</f>
        <v>GENERATOR SET KUBOTA</v>
      </c>
      <c r="C361" s="180" t="s">
        <v>184</v>
      </c>
      <c r="D361" s="181" t="s">
        <v>186</v>
      </c>
      <c r="E361" s="182">
        <v>41298</v>
      </c>
      <c r="F361" s="180" t="str">
        <f>+RPCPPE!E72</f>
        <v>2013-NFA-00B-PE-V-002</v>
      </c>
      <c r="G361" s="175">
        <f>+RPCPPE!I72</f>
        <v>439700</v>
      </c>
      <c r="H361" s="185">
        <v>21985</v>
      </c>
      <c r="I361" s="198">
        <v>44926</v>
      </c>
      <c r="J361" s="107"/>
      <c r="K361" s="192"/>
      <c r="M361" s="184"/>
    </row>
    <row r="362" spans="1:13" x14ac:dyDescent="0.25">
      <c r="A362" s="133"/>
      <c r="B362" s="178" t="s">
        <v>672</v>
      </c>
      <c r="C362" s="123"/>
      <c r="D362" s="104"/>
      <c r="E362" s="123"/>
      <c r="F362" s="123"/>
      <c r="G362" s="199">
        <f>+G361</f>
        <v>439700</v>
      </c>
      <c r="H362" s="199">
        <f>+H361</f>
        <v>21985</v>
      </c>
      <c r="I362" s="94"/>
      <c r="J362" s="107"/>
      <c r="K362" s="192"/>
    </row>
    <row r="363" spans="1:13" x14ac:dyDescent="0.25">
      <c r="A363" s="133"/>
      <c r="B363" s="178" t="s">
        <v>674</v>
      </c>
      <c r="C363" s="123"/>
      <c r="D363" s="104"/>
      <c r="E363" s="123"/>
      <c r="F363" s="123"/>
      <c r="G363" s="164" t="e">
        <f>+G321+G325+G329+G338+G343+G350+G359+G362</f>
        <v>#REF!</v>
      </c>
      <c r="H363" s="164">
        <f>+H321+H325+H329+H338+H343+H350+H359+H362</f>
        <v>4322303.6100000003</v>
      </c>
      <c r="I363" s="94"/>
      <c r="J363" s="107"/>
      <c r="K363" s="192"/>
    </row>
    <row r="364" spans="1:13" ht="15.75" customHeight="1" x14ac:dyDescent="0.25">
      <c r="A364" s="437" t="s">
        <v>657</v>
      </c>
      <c r="B364" s="438"/>
      <c r="C364" s="438"/>
      <c r="D364" s="438"/>
      <c r="E364" s="438"/>
      <c r="F364" s="438"/>
      <c r="G364" s="439"/>
      <c r="H364" s="439"/>
      <c r="I364" s="439"/>
      <c r="J364" s="440"/>
      <c r="K364" s="194"/>
    </row>
    <row r="365" spans="1:13" ht="15" customHeight="1" x14ac:dyDescent="0.25">
      <c r="A365" s="441" t="s">
        <v>658</v>
      </c>
      <c r="B365" s="442"/>
      <c r="C365" s="442"/>
      <c r="D365" s="442"/>
      <c r="E365" s="442"/>
      <c r="F365" s="442"/>
      <c r="G365" s="442"/>
      <c r="H365" s="442"/>
      <c r="I365" s="442"/>
      <c r="J365" s="443"/>
      <c r="K365" s="118"/>
      <c r="L365" s="165"/>
    </row>
    <row r="366" spans="1:13" ht="15.75" customHeight="1" x14ac:dyDescent="0.25">
      <c r="A366" s="441" t="s">
        <v>659</v>
      </c>
      <c r="B366" s="442"/>
      <c r="C366" s="442"/>
      <c r="D366" s="442"/>
      <c r="E366" s="442"/>
      <c r="F366" s="442"/>
      <c r="G366" s="442"/>
      <c r="H366" s="442"/>
      <c r="I366" s="442"/>
      <c r="J366" s="443"/>
      <c r="K366" s="118"/>
    </row>
    <row r="367" spans="1:13" ht="6.75" customHeight="1" x14ac:dyDescent="0.25">
      <c r="A367" s="467"/>
      <c r="B367" s="201"/>
      <c r="C367" s="202"/>
      <c r="D367" s="202"/>
      <c r="E367" s="203"/>
      <c r="F367" s="202"/>
      <c r="G367" s="217"/>
      <c r="H367" s="202"/>
      <c r="I367" s="202"/>
      <c r="J367" s="218"/>
      <c r="K367" s="195"/>
    </row>
    <row r="368" spans="1:13" ht="15" customHeight="1" x14ac:dyDescent="0.25">
      <c r="A368" s="444"/>
      <c r="B368" s="204" t="s">
        <v>660</v>
      </c>
      <c r="C368" s="112" t="s">
        <v>661</v>
      </c>
      <c r="D368" s="113"/>
      <c r="E368" s="205"/>
      <c r="F368" s="113" t="s">
        <v>662</v>
      </c>
      <c r="G368" s="114"/>
      <c r="H368" s="113"/>
      <c r="I368" s="113"/>
      <c r="J368" s="115"/>
      <c r="K368" s="118"/>
    </row>
    <row r="369" spans="1:12" x14ac:dyDescent="0.25">
      <c r="A369" s="444"/>
      <c r="B369" s="206"/>
      <c r="C369" s="116"/>
      <c r="D369" s="116"/>
      <c r="E369" s="205"/>
      <c r="F369" s="116"/>
      <c r="G369" s="117"/>
      <c r="H369" s="116"/>
      <c r="I369" s="116"/>
      <c r="J369" s="115"/>
      <c r="K369" s="118"/>
    </row>
    <row r="370" spans="1:12" ht="15" customHeight="1" x14ac:dyDescent="0.25">
      <c r="A370" s="444"/>
      <c r="B370" s="207" t="s">
        <v>84</v>
      </c>
      <c r="C370" s="446" t="s">
        <v>673</v>
      </c>
      <c r="D370" s="446"/>
      <c r="E370" s="205"/>
      <c r="F370" s="447" t="s">
        <v>663</v>
      </c>
      <c r="G370" s="447"/>
      <c r="H370" s="447"/>
      <c r="I370" s="116"/>
      <c r="J370" s="115"/>
      <c r="K370" s="118"/>
    </row>
    <row r="371" spans="1:12" ht="15" customHeight="1" x14ac:dyDescent="0.25">
      <c r="A371" s="444"/>
      <c r="B371" s="208" t="s">
        <v>664</v>
      </c>
      <c r="C371" s="448" t="s">
        <v>665</v>
      </c>
      <c r="D371" s="448"/>
      <c r="E371" s="115" t="s">
        <v>666</v>
      </c>
      <c r="F371" s="449" t="s">
        <v>133</v>
      </c>
      <c r="G371" s="449"/>
      <c r="H371" s="449"/>
      <c r="I371" s="118" t="s">
        <v>666</v>
      </c>
      <c r="J371" s="166"/>
      <c r="K371" s="165"/>
      <c r="L371" s="165"/>
    </row>
    <row r="372" spans="1:12" x14ac:dyDescent="0.25">
      <c r="A372" s="468"/>
      <c r="B372" s="209" t="s">
        <v>667</v>
      </c>
      <c r="C372" s="210" t="s">
        <v>668</v>
      </c>
      <c r="D372" s="211"/>
      <c r="E372" s="212"/>
      <c r="F372" s="465" t="s">
        <v>669</v>
      </c>
      <c r="G372" s="465"/>
      <c r="H372" s="465"/>
      <c r="I372" s="219"/>
      <c r="J372" s="220"/>
      <c r="K372" s="118"/>
    </row>
    <row r="373" spans="1:12" x14ac:dyDescent="0.25">
      <c r="A373" s="167"/>
      <c r="B373" s="168"/>
      <c r="C373" s="168"/>
      <c r="D373" s="168"/>
      <c r="E373" s="169"/>
      <c r="F373" s="168"/>
      <c r="G373" s="154"/>
      <c r="H373" s="168"/>
      <c r="I373" s="168"/>
      <c r="J373" s="166"/>
      <c r="K373" s="165"/>
    </row>
    <row r="374" spans="1:12" s="170" customFormat="1" ht="27.75" customHeight="1" x14ac:dyDescent="0.25">
      <c r="A374" s="434" t="s">
        <v>670</v>
      </c>
      <c r="B374" s="435"/>
      <c r="C374" s="435"/>
      <c r="D374" s="435"/>
      <c r="E374" s="435"/>
      <c r="F374" s="435"/>
      <c r="G374" s="435"/>
      <c r="H374" s="435"/>
      <c r="I374" s="435"/>
      <c r="J374" s="436"/>
      <c r="K374" s="132"/>
    </row>
    <row r="375" spans="1:12" s="170" customFormat="1" x14ac:dyDescent="0.25">
      <c r="A375" s="121" t="s">
        <v>671</v>
      </c>
      <c r="B375" s="171"/>
      <c r="C375" s="171"/>
      <c r="D375" s="171"/>
      <c r="E375" s="172"/>
      <c r="F375" s="171"/>
      <c r="G375" s="173"/>
      <c r="H375" s="171"/>
      <c r="I375" s="171"/>
      <c r="J375" s="174"/>
      <c r="K375" s="196"/>
    </row>
  </sheetData>
  <mergeCells count="26">
    <mergeCell ref="F372:H372"/>
    <mergeCell ref="A374:J374"/>
    <mergeCell ref="A11:B11"/>
    <mergeCell ref="A317:F317"/>
    <mergeCell ref="A364:J364"/>
    <mergeCell ref="A365:J365"/>
    <mergeCell ref="A366:J366"/>
    <mergeCell ref="A367:A372"/>
    <mergeCell ref="C370:D370"/>
    <mergeCell ref="F370:H370"/>
    <mergeCell ref="C371:D371"/>
    <mergeCell ref="F371:H371"/>
    <mergeCell ref="F8:F9"/>
    <mergeCell ref="G8:H8"/>
    <mergeCell ref="I8:I9"/>
    <mergeCell ref="J8:J9"/>
    <mergeCell ref="A2:J2"/>
    <mergeCell ref="A3:J3"/>
    <mergeCell ref="A4:J4"/>
    <mergeCell ref="A5:J5"/>
    <mergeCell ref="A6:J6"/>
    <mergeCell ref="A8:A9"/>
    <mergeCell ref="B8:B9"/>
    <mergeCell ref="C8:C9"/>
    <mergeCell ref="D8:D9"/>
    <mergeCell ref="E8:E9"/>
  </mergeCells>
  <hyperlinks>
    <hyperlink ref="A374" location="_ftnref1" display="_ftnref1"/>
    <hyperlink ref="A375" location="_ftnref2" display="_ftnref2"/>
    <hyperlink ref="C8" location="_ftn1" display="_ftn1"/>
  </hyperlinks>
  <pageMargins left="0.19685039370078741" right="0.19685039370078741" top="0.31496062992125984" bottom="0.19685039370078741" header="0" footer="0"/>
  <pageSetup paperSize="14" scale="90" orientation="landscape" horizontalDpi="0" verticalDpi="0" r:id="rId1"/>
  <headerFooter>
    <oddFooter>Page &amp;P of &amp;N</oddFooter>
  </headerFooter>
  <rowBreaks count="1" manualBreakCount="1">
    <brk id="343" max="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32"/>
  <sheetViews>
    <sheetView view="pageBreakPreview" topLeftCell="A10" zoomScaleNormal="100" zoomScaleSheetLayoutView="100" workbookViewId="0">
      <selection activeCell="D335" sqref="D335"/>
    </sheetView>
  </sheetViews>
  <sheetFormatPr defaultRowHeight="15" x14ac:dyDescent="0.25"/>
  <cols>
    <col min="1" max="1" width="12.7109375" style="135" customWidth="1"/>
    <col min="2" max="2" width="49.28515625" style="136" customWidth="1"/>
    <col min="3" max="3" width="11.140625" style="136" customWidth="1"/>
    <col min="4" max="4" width="16.85546875" style="136" customWidth="1"/>
    <col min="5" max="5" width="12" style="137" customWidth="1"/>
    <col min="6" max="6" width="25" style="136" customWidth="1"/>
    <col min="7" max="7" width="13.28515625" style="138" customWidth="1"/>
    <col min="8" max="8" width="13.42578125" style="136" customWidth="1"/>
    <col min="9" max="9" width="10.85546875" style="136" customWidth="1"/>
    <col min="10" max="11" width="8.42578125" style="135" customWidth="1"/>
    <col min="12" max="12" width="11.140625" style="135" customWidth="1"/>
    <col min="13" max="13" width="10.7109375" style="135" bestFit="1" customWidth="1"/>
    <col min="14" max="14" width="9.140625" style="135"/>
    <col min="15" max="15" width="11" style="135" bestFit="1" customWidth="1"/>
    <col min="16" max="16" width="11.5703125" style="135" bestFit="1" customWidth="1"/>
    <col min="17" max="16384" width="9.140625" style="135"/>
  </cols>
  <sheetData>
    <row r="2" spans="1:11" ht="15.75" x14ac:dyDescent="0.25">
      <c r="A2" s="430" t="s">
        <v>53</v>
      </c>
      <c r="B2" s="430"/>
      <c r="C2" s="430"/>
      <c r="D2" s="430"/>
      <c r="E2" s="430"/>
      <c r="F2" s="430"/>
      <c r="G2" s="430"/>
      <c r="H2" s="430"/>
      <c r="I2" s="430"/>
      <c r="J2" s="430"/>
      <c r="K2" s="188"/>
    </row>
    <row r="3" spans="1:11" x14ac:dyDescent="0.25">
      <c r="A3" s="431" t="s">
        <v>159</v>
      </c>
      <c r="B3" s="431"/>
      <c r="C3" s="431"/>
      <c r="D3" s="431"/>
      <c r="E3" s="431"/>
      <c r="F3" s="431"/>
      <c r="G3" s="431"/>
      <c r="H3" s="431"/>
      <c r="I3" s="431"/>
      <c r="J3" s="431"/>
      <c r="K3" s="189"/>
    </row>
    <row r="4" spans="1:11" x14ac:dyDescent="0.25">
      <c r="A4" s="431" t="s">
        <v>160</v>
      </c>
      <c r="B4" s="431"/>
      <c r="C4" s="431"/>
      <c r="D4" s="431"/>
      <c r="E4" s="431"/>
      <c r="F4" s="431"/>
      <c r="G4" s="431"/>
      <c r="H4" s="431"/>
      <c r="I4" s="431"/>
      <c r="J4" s="431"/>
      <c r="K4" s="189"/>
    </row>
    <row r="5" spans="1:11" ht="15.75" x14ac:dyDescent="0.25">
      <c r="A5" s="430" t="s">
        <v>161</v>
      </c>
      <c r="B5" s="430"/>
      <c r="C5" s="430"/>
      <c r="D5" s="430"/>
      <c r="E5" s="430"/>
      <c r="F5" s="430"/>
      <c r="G5" s="430"/>
      <c r="H5" s="430"/>
      <c r="I5" s="430"/>
      <c r="J5" s="430"/>
      <c r="K5" s="188"/>
    </row>
    <row r="6" spans="1:11" x14ac:dyDescent="0.25">
      <c r="A6" s="431" t="s">
        <v>162</v>
      </c>
      <c r="B6" s="431"/>
      <c r="C6" s="431"/>
      <c r="D6" s="431"/>
      <c r="E6" s="431"/>
      <c r="F6" s="431"/>
      <c r="G6" s="431"/>
      <c r="H6" s="431"/>
      <c r="I6" s="431"/>
      <c r="J6" s="431"/>
      <c r="K6" s="189"/>
    </row>
    <row r="7" spans="1:11" x14ac:dyDescent="0.25">
      <c r="A7" s="139" t="s">
        <v>676</v>
      </c>
    </row>
    <row r="8" spans="1:11" s="139" customFormat="1" ht="16.5" customHeight="1" x14ac:dyDescent="0.25">
      <c r="A8" s="429" t="s">
        <v>163</v>
      </c>
      <c r="B8" s="428" t="s">
        <v>164</v>
      </c>
      <c r="C8" s="432" t="s">
        <v>165</v>
      </c>
      <c r="D8" s="428" t="s">
        <v>166</v>
      </c>
      <c r="E8" s="433" t="s">
        <v>167</v>
      </c>
      <c r="F8" s="428" t="s">
        <v>168</v>
      </c>
      <c r="G8" s="428" t="s">
        <v>169</v>
      </c>
      <c r="H8" s="428"/>
      <c r="I8" s="428" t="s">
        <v>170</v>
      </c>
      <c r="J8" s="429" t="s">
        <v>171</v>
      </c>
      <c r="K8" s="190"/>
    </row>
    <row r="9" spans="1:11" s="139" customFormat="1" ht="56.25" customHeight="1" x14ac:dyDescent="0.25">
      <c r="A9" s="429"/>
      <c r="B9" s="428"/>
      <c r="C9" s="432"/>
      <c r="D9" s="428"/>
      <c r="E9" s="433"/>
      <c r="F9" s="428"/>
      <c r="G9" s="127" t="s">
        <v>172</v>
      </c>
      <c r="H9" s="123" t="s">
        <v>173</v>
      </c>
      <c r="I9" s="428"/>
      <c r="J9" s="429"/>
      <c r="K9" s="190"/>
    </row>
    <row r="10" spans="1:11" s="139" customFormat="1" x14ac:dyDescent="0.25">
      <c r="A10" s="128" t="s">
        <v>174</v>
      </c>
      <c r="B10" s="125" t="s">
        <v>175</v>
      </c>
      <c r="C10" s="125" t="s">
        <v>176</v>
      </c>
      <c r="D10" s="125" t="s">
        <v>177</v>
      </c>
      <c r="E10" s="126" t="s">
        <v>178</v>
      </c>
      <c r="F10" s="125" t="s">
        <v>179</v>
      </c>
      <c r="G10" s="127" t="s">
        <v>180</v>
      </c>
      <c r="H10" s="125" t="s">
        <v>181</v>
      </c>
      <c r="I10" s="125" t="s">
        <v>182</v>
      </c>
      <c r="J10" s="124" t="s">
        <v>183</v>
      </c>
      <c r="K10" s="191"/>
    </row>
    <row r="11" spans="1:11" ht="15" hidden="1" customHeight="1" x14ac:dyDescent="0.25">
      <c r="A11" s="466" t="s">
        <v>188</v>
      </c>
      <c r="B11" s="466"/>
      <c r="C11" s="100"/>
      <c r="D11" s="104"/>
      <c r="E11" s="101"/>
      <c r="F11" s="102"/>
      <c r="G11" s="103"/>
      <c r="H11" s="94"/>
      <c r="I11" s="94"/>
      <c r="J11" s="98"/>
      <c r="K11" s="118"/>
    </row>
    <row r="12" spans="1:11" ht="15.75" hidden="1" customHeight="1" x14ac:dyDescent="0.25">
      <c r="A12" s="93" t="s">
        <v>189</v>
      </c>
      <c r="B12" s="94"/>
      <c r="C12" s="100"/>
      <c r="D12" s="100"/>
      <c r="E12" s="96"/>
      <c r="F12" s="95"/>
      <c r="G12" s="97"/>
      <c r="H12" s="94"/>
      <c r="I12" s="94"/>
      <c r="J12" s="98"/>
      <c r="K12" s="118"/>
    </row>
    <row r="13" spans="1:11" ht="15.75" hidden="1" customHeight="1" x14ac:dyDescent="0.25">
      <c r="A13" s="93"/>
      <c r="B13" s="134" t="s">
        <v>190</v>
      </c>
      <c r="C13" s="100"/>
      <c r="D13" s="100"/>
      <c r="E13" s="140">
        <v>40438</v>
      </c>
      <c r="F13" s="129" t="s">
        <v>191</v>
      </c>
      <c r="G13" s="141">
        <v>2880</v>
      </c>
      <c r="H13" s="94"/>
      <c r="I13" s="94"/>
      <c r="J13" s="98"/>
      <c r="K13" s="118"/>
    </row>
    <row r="14" spans="1:11" s="144" customFormat="1" ht="15.75" hidden="1" customHeight="1" x14ac:dyDescent="0.25">
      <c r="A14" s="106"/>
      <c r="B14" s="99" t="s">
        <v>192</v>
      </c>
      <c r="C14" s="100" t="s">
        <v>184</v>
      </c>
      <c r="D14" s="104" t="s">
        <v>186</v>
      </c>
      <c r="E14" s="105">
        <v>41365</v>
      </c>
      <c r="F14" s="142" t="s">
        <v>193</v>
      </c>
      <c r="G14" s="143">
        <v>3896.5</v>
      </c>
      <c r="H14" s="94"/>
      <c r="I14" s="94"/>
      <c r="J14" s="107"/>
      <c r="K14" s="192"/>
    </row>
    <row r="15" spans="1:11" ht="15.75" hidden="1" customHeight="1" x14ac:dyDescent="0.25">
      <c r="A15" s="93"/>
      <c r="B15" s="145" t="s">
        <v>194</v>
      </c>
      <c r="C15" s="100" t="s">
        <v>184</v>
      </c>
      <c r="D15" s="104" t="s">
        <v>186</v>
      </c>
      <c r="E15" s="105">
        <v>40486</v>
      </c>
      <c r="F15" s="142" t="s">
        <v>195</v>
      </c>
      <c r="G15" s="143">
        <v>10750</v>
      </c>
      <c r="H15" s="94"/>
      <c r="I15" s="94"/>
      <c r="J15" s="98"/>
      <c r="K15" s="118"/>
    </row>
    <row r="16" spans="1:11" ht="15.75" hidden="1" customHeight="1" x14ac:dyDescent="0.25">
      <c r="A16" s="93"/>
      <c r="B16" s="145" t="s">
        <v>196</v>
      </c>
      <c r="C16" s="100" t="s">
        <v>184</v>
      </c>
      <c r="D16" s="104" t="s">
        <v>186</v>
      </c>
      <c r="E16" s="105">
        <v>41551</v>
      </c>
      <c r="F16" s="142" t="s">
        <v>197</v>
      </c>
      <c r="G16" s="143">
        <v>7900</v>
      </c>
      <c r="H16" s="94"/>
      <c r="I16" s="94"/>
      <c r="J16" s="98"/>
      <c r="K16" s="118"/>
    </row>
    <row r="17" spans="1:11" ht="15.75" hidden="1" customHeight="1" x14ac:dyDescent="0.25">
      <c r="A17" s="93"/>
      <c r="B17" s="99" t="s">
        <v>198</v>
      </c>
      <c r="C17" s="100" t="s">
        <v>184</v>
      </c>
      <c r="D17" s="104" t="s">
        <v>186</v>
      </c>
      <c r="E17" s="105">
        <v>42076</v>
      </c>
      <c r="F17" s="142" t="s">
        <v>199</v>
      </c>
      <c r="G17" s="143">
        <v>6360</v>
      </c>
      <c r="H17" s="94"/>
      <c r="I17" s="94"/>
      <c r="J17" s="98"/>
      <c r="K17" s="118"/>
    </row>
    <row r="18" spans="1:11" ht="15.75" hidden="1" customHeight="1" x14ac:dyDescent="0.25">
      <c r="A18" s="93"/>
      <c r="B18" s="134" t="s">
        <v>200</v>
      </c>
      <c r="C18" s="100"/>
      <c r="D18" s="104"/>
      <c r="E18" s="140">
        <v>40941</v>
      </c>
      <c r="F18" s="129" t="s">
        <v>201</v>
      </c>
      <c r="G18" s="141">
        <v>2075</v>
      </c>
      <c r="H18" s="94"/>
      <c r="I18" s="94"/>
      <c r="J18" s="98"/>
      <c r="K18" s="118"/>
    </row>
    <row r="19" spans="1:11" ht="15.75" hidden="1" customHeight="1" x14ac:dyDescent="0.25">
      <c r="A19" s="93" t="s">
        <v>187</v>
      </c>
      <c r="B19" s="99"/>
      <c r="C19" s="100"/>
      <c r="D19" s="100"/>
      <c r="E19" s="105"/>
      <c r="F19" s="142"/>
      <c r="G19" s="143"/>
      <c r="H19" s="94"/>
      <c r="I19" s="94"/>
      <c r="J19" s="98"/>
      <c r="K19" s="118"/>
    </row>
    <row r="20" spans="1:11" s="144" customFormat="1" ht="15.75" hidden="1" customHeight="1" x14ac:dyDescent="0.25">
      <c r="A20" s="106"/>
      <c r="B20" s="99" t="s">
        <v>202</v>
      </c>
      <c r="C20" s="100" t="s">
        <v>184</v>
      </c>
      <c r="D20" s="104" t="s">
        <v>186</v>
      </c>
      <c r="E20" s="105">
        <v>35915</v>
      </c>
      <c r="F20" s="145" t="s">
        <v>203</v>
      </c>
      <c r="G20" s="143">
        <v>14980</v>
      </c>
      <c r="H20" s="94"/>
      <c r="I20" s="94"/>
      <c r="J20" s="107"/>
      <c r="K20" s="192"/>
    </row>
    <row r="21" spans="1:11" s="144" customFormat="1" ht="15.75" hidden="1" customHeight="1" x14ac:dyDescent="0.25">
      <c r="A21" s="106"/>
      <c r="B21" s="145" t="s">
        <v>204</v>
      </c>
      <c r="C21" s="100" t="s">
        <v>184</v>
      </c>
      <c r="D21" s="104" t="s">
        <v>186</v>
      </c>
      <c r="E21" s="105">
        <v>40735</v>
      </c>
      <c r="F21" s="145" t="s">
        <v>205</v>
      </c>
      <c r="G21" s="143">
        <v>8850</v>
      </c>
      <c r="H21" s="94"/>
      <c r="I21" s="94"/>
      <c r="J21" s="107"/>
      <c r="K21" s="192"/>
    </row>
    <row r="22" spans="1:11" s="144" customFormat="1" ht="15.75" hidden="1" customHeight="1" x14ac:dyDescent="0.25">
      <c r="A22" s="106"/>
      <c r="B22" s="145" t="s">
        <v>206</v>
      </c>
      <c r="C22" s="100" t="s">
        <v>184</v>
      </c>
      <c r="D22" s="104" t="s">
        <v>186</v>
      </c>
      <c r="E22" s="105">
        <v>42818</v>
      </c>
      <c r="F22" s="145" t="s">
        <v>207</v>
      </c>
      <c r="G22" s="143"/>
      <c r="H22" s="94"/>
      <c r="I22" s="94"/>
      <c r="J22" s="107"/>
      <c r="K22" s="192"/>
    </row>
    <row r="23" spans="1:11" s="144" customFormat="1" ht="15.75" hidden="1" customHeight="1" x14ac:dyDescent="0.25">
      <c r="A23" s="106"/>
      <c r="B23" s="99" t="s">
        <v>208</v>
      </c>
      <c r="C23" s="100" t="s">
        <v>184</v>
      </c>
      <c r="D23" s="104" t="s">
        <v>186</v>
      </c>
      <c r="E23" s="105">
        <v>42387</v>
      </c>
      <c r="F23" s="142" t="s">
        <v>209</v>
      </c>
      <c r="G23" s="146">
        <v>5510</v>
      </c>
      <c r="H23" s="94"/>
      <c r="I23" s="94"/>
      <c r="J23" s="107"/>
      <c r="K23" s="192"/>
    </row>
    <row r="24" spans="1:11" s="144" customFormat="1" ht="15.75" hidden="1" customHeight="1" x14ac:dyDescent="0.25">
      <c r="A24" s="106"/>
      <c r="B24" s="99" t="s">
        <v>210</v>
      </c>
      <c r="C24" s="100" t="s">
        <v>184</v>
      </c>
      <c r="D24" s="104" t="s">
        <v>186</v>
      </c>
      <c r="E24" s="105">
        <v>42387</v>
      </c>
      <c r="F24" s="145" t="s">
        <v>211</v>
      </c>
      <c r="G24" s="143">
        <v>8475</v>
      </c>
      <c r="H24" s="94"/>
      <c r="I24" s="94"/>
      <c r="J24" s="107"/>
      <c r="K24" s="192"/>
    </row>
    <row r="25" spans="1:11" s="144" customFormat="1" ht="15.75" hidden="1" customHeight="1" x14ac:dyDescent="0.25">
      <c r="A25" s="106"/>
      <c r="B25" s="99" t="s">
        <v>212</v>
      </c>
      <c r="C25" s="100" t="s">
        <v>184</v>
      </c>
      <c r="D25" s="104" t="s">
        <v>186</v>
      </c>
      <c r="E25" s="105">
        <v>41947</v>
      </c>
      <c r="F25" s="142" t="s">
        <v>213</v>
      </c>
      <c r="G25" s="146">
        <v>6143</v>
      </c>
      <c r="H25" s="94"/>
      <c r="I25" s="94"/>
      <c r="J25" s="107"/>
      <c r="K25" s="192"/>
    </row>
    <row r="26" spans="1:11" s="144" customFormat="1" ht="15.75" hidden="1" customHeight="1" x14ac:dyDescent="0.25">
      <c r="A26" s="106"/>
      <c r="B26" s="99" t="s">
        <v>214</v>
      </c>
      <c r="C26" s="100" t="s">
        <v>184</v>
      </c>
      <c r="D26" s="104" t="s">
        <v>186</v>
      </c>
      <c r="E26" s="147">
        <v>41822</v>
      </c>
      <c r="F26" s="99" t="s">
        <v>215</v>
      </c>
      <c r="G26" s="148">
        <v>4976.7</v>
      </c>
      <c r="H26" s="94"/>
      <c r="I26" s="94"/>
      <c r="J26" s="107"/>
      <c r="K26" s="192"/>
    </row>
    <row r="27" spans="1:11" s="144" customFormat="1" ht="15.75" hidden="1" customHeight="1" x14ac:dyDescent="0.25">
      <c r="A27" s="106"/>
      <c r="B27" s="99" t="s">
        <v>208</v>
      </c>
      <c r="C27" s="100" t="s">
        <v>184</v>
      </c>
      <c r="D27" s="104" t="s">
        <v>186</v>
      </c>
      <c r="E27" s="105">
        <v>41850</v>
      </c>
      <c r="F27" s="142" t="s">
        <v>216</v>
      </c>
      <c r="G27" s="146">
        <v>4976.7</v>
      </c>
      <c r="H27" s="94"/>
      <c r="I27" s="94"/>
      <c r="J27" s="107"/>
      <c r="K27" s="192"/>
    </row>
    <row r="28" spans="1:11" s="144" customFormat="1" ht="15.75" hidden="1" customHeight="1" x14ac:dyDescent="0.25">
      <c r="A28" s="106"/>
      <c r="B28" s="99" t="s">
        <v>217</v>
      </c>
      <c r="C28" s="100" t="s">
        <v>184</v>
      </c>
      <c r="D28" s="104" t="s">
        <v>186</v>
      </c>
      <c r="E28" s="105">
        <v>41901</v>
      </c>
      <c r="F28" s="145" t="s">
        <v>218</v>
      </c>
      <c r="G28" s="143">
        <v>7685</v>
      </c>
      <c r="H28" s="94"/>
      <c r="I28" s="94"/>
      <c r="J28" s="107"/>
      <c r="K28" s="192"/>
    </row>
    <row r="29" spans="1:11" s="144" customFormat="1" ht="15.75" hidden="1" customHeight="1" x14ac:dyDescent="0.25">
      <c r="A29" s="106"/>
      <c r="B29" s="145" t="s">
        <v>219</v>
      </c>
      <c r="C29" s="100" t="s">
        <v>184</v>
      </c>
      <c r="D29" s="104" t="s">
        <v>186</v>
      </c>
      <c r="E29" s="105">
        <v>42025</v>
      </c>
      <c r="F29" s="145" t="s">
        <v>220</v>
      </c>
      <c r="G29" s="143">
        <v>5820</v>
      </c>
      <c r="H29" s="94"/>
      <c r="I29" s="94"/>
      <c r="J29" s="107"/>
      <c r="K29" s="192"/>
    </row>
    <row r="30" spans="1:11" s="144" customFormat="1" ht="15.75" hidden="1" customHeight="1" x14ac:dyDescent="0.25">
      <c r="A30" s="106"/>
      <c r="B30" s="99" t="s">
        <v>208</v>
      </c>
      <c r="C30" s="100" t="s">
        <v>184</v>
      </c>
      <c r="D30" s="104" t="s">
        <v>186</v>
      </c>
      <c r="E30" s="105">
        <v>42221</v>
      </c>
      <c r="F30" s="142" t="s">
        <v>221</v>
      </c>
      <c r="G30" s="146">
        <v>4976.7</v>
      </c>
      <c r="H30" s="94"/>
      <c r="I30" s="94"/>
      <c r="J30" s="107"/>
      <c r="K30" s="192"/>
    </row>
    <row r="31" spans="1:11" s="144" customFormat="1" ht="15.75" hidden="1" customHeight="1" x14ac:dyDescent="0.25">
      <c r="A31" s="106"/>
      <c r="B31" s="142" t="s">
        <v>208</v>
      </c>
      <c r="C31" s="100" t="s">
        <v>184</v>
      </c>
      <c r="D31" s="104" t="s">
        <v>186</v>
      </c>
      <c r="E31" s="105">
        <v>42299</v>
      </c>
      <c r="F31" s="145" t="s">
        <v>222</v>
      </c>
      <c r="G31" s="143">
        <v>4976.7</v>
      </c>
      <c r="H31" s="94"/>
      <c r="I31" s="94"/>
      <c r="J31" s="107"/>
      <c r="K31" s="192"/>
    </row>
    <row r="32" spans="1:11" s="144" customFormat="1" ht="15.75" hidden="1" customHeight="1" x14ac:dyDescent="0.25">
      <c r="A32" s="106"/>
      <c r="B32" s="142" t="s">
        <v>208</v>
      </c>
      <c r="C32" s="100" t="s">
        <v>184</v>
      </c>
      <c r="D32" s="104" t="s">
        <v>186</v>
      </c>
      <c r="E32" s="105">
        <v>42583</v>
      </c>
      <c r="F32" s="145" t="s">
        <v>223</v>
      </c>
      <c r="G32" s="143">
        <v>5510</v>
      </c>
      <c r="H32" s="94"/>
      <c r="I32" s="94"/>
      <c r="J32" s="107"/>
      <c r="K32" s="192"/>
    </row>
    <row r="33" spans="1:11" s="144" customFormat="1" ht="15.75" hidden="1" customHeight="1" x14ac:dyDescent="0.25">
      <c r="A33" s="106"/>
      <c r="B33" s="145" t="s">
        <v>224</v>
      </c>
      <c r="C33" s="100" t="s">
        <v>184</v>
      </c>
      <c r="D33" s="104" t="s">
        <v>186</v>
      </c>
      <c r="E33" s="105" t="s">
        <v>225</v>
      </c>
      <c r="F33" s="145" t="s">
        <v>226</v>
      </c>
      <c r="G33" s="143">
        <v>8475</v>
      </c>
      <c r="H33" s="94"/>
      <c r="I33" s="94"/>
      <c r="J33" s="107"/>
      <c r="K33" s="192"/>
    </row>
    <row r="34" spans="1:11" s="144" customFormat="1" ht="15.75" hidden="1" customHeight="1" x14ac:dyDescent="0.25">
      <c r="A34" s="106"/>
      <c r="B34" s="94" t="s">
        <v>227</v>
      </c>
      <c r="C34" s="100" t="s">
        <v>184</v>
      </c>
      <c r="D34" s="104" t="s">
        <v>186</v>
      </c>
      <c r="E34" s="105">
        <v>42695</v>
      </c>
      <c r="F34" s="145" t="s">
        <v>228</v>
      </c>
      <c r="G34" s="143">
        <v>8475</v>
      </c>
      <c r="H34" s="94"/>
      <c r="I34" s="94"/>
      <c r="J34" s="107"/>
      <c r="K34" s="192"/>
    </row>
    <row r="35" spans="1:11" s="144" customFormat="1" ht="15.75" hidden="1" customHeight="1" x14ac:dyDescent="0.25">
      <c r="A35" s="106"/>
      <c r="B35" s="94" t="s">
        <v>208</v>
      </c>
      <c r="C35" s="100" t="s">
        <v>184</v>
      </c>
      <c r="D35" s="104" t="s">
        <v>186</v>
      </c>
      <c r="E35" s="105">
        <v>42818</v>
      </c>
      <c r="F35" s="145" t="s">
        <v>229</v>
      </c>
      <c r="G35" s="143">
        <v>4870.7</v>
      </c>
      <c r="H35" s="94"/>
      <c r="I35" s="94"/>
      <c r="J35" s="107"/>
      <c r="K35" s="192"/>
    </row>
    <row r="36" spans="1:11" s="144" customFormat="1" ht="15.75" hidden="1" customHeight="1" x14ac:dyDescent="0.25">
      <c r="A36" s="106"/>
      <c r="B36" s="145" t="s">
        <v>230</v>
      </c>
      <c r="C36" s="100" t="s">
        <v>184</v>
      </c>
      <c r="D36" s="104" t="s">
        <v>186</v>
      </c>
      <c r="E36" s="105">
        <v>42818</v>
      </c>
      <c r="F36" s="145" t="s">
        <v>231</v>
      </c>
      <c r="G36" s="143">
        <v>7580</v>
      </c>
      <c r="H36" s="94"/>
      <c r="I36" s="94"/>
      <c r="J36" s="107"/>
      <c r="K36" s="192"/>
    </row>
    <row r="37" spans="1:11" s="144" customFormat="1" ht="15.75" hidden="1" customHeight="1" x14ac:dyDescent="0.25">
      <c r="A37" s="106"/>
      <c r="B37" s="94" t="s">
        <v>227</v>
      </c>
      <c r="C37" s="100" t="s">
        <v>184</v>
      </c>
      <c r="D37" s="104" t="s">
        <v>186</v>
      </c>
      <c r="E37" s="105">
        <v>42849</v>
      </c>
      <c r="F37" s="145" t="s">
        <v>232</v>
      </c>
      <c r="G37" s="146">
        <v>7579</v>
      </c>
      <c r="H37" s="94"/>
      <c r="I37" s="94"/>
      <c r="J37" s="107"/>
      <c r="K37" s="192"/>
    </row>
    <row r="38" spans="1:11" s="144" customFormat="1" ht="15.75" hidden="1" customHeight="1" x14ac:dyDescent="0.25">
      <c r="A38" s="106"/>
      <c r="B38" s="145" t="s">
        <v>233</v>
      </c>
      <c r="C38" s="100" t="s">
        <v>184</v>
      </c>
      <c r="D38" s="104" t="s">
        <v>186</v>
      </c>
      <c r="E38" s="105">
        <v>43083</v>
      </c>
      <c r="F38" s="145" t="s">
        <v>234</v>
      </c>
      <c r="G38" s="143">
        <v>13995</v>
      </c>
      <c r="H38" s="94"/>
      <c r="I38" s="94"/>
      <c r="J38" s="107"/>
      <c r="K38" s="192"/>
    </row>
    <row r="39" spans="1:11" s="144" customFormat="1" ht="15.75" hidden="1" customHeight="1" x14ac:dyDescent="0.25">
      <c r="A39" s="106"/>
      <c r="B39" s="94" t="s">
        <v>233</v>
      </c>
      <c r="C39" s="100" t="s">
        <v>184</v>
      </c>
      <c r="D39" s="104" t="s">
        <v>186</v>
      </c>
      <c r="E39" s="149">
        <v>43083</v>
      </c>
      <c r="F39" s="145" t="s">
        <v>235</v>
      </c>
      <c r="G39" s="143">
        <v>13995</v>
      </c>
      <c r="H39" s="94"/>
      <c r="I39" s="94"/>
      <c r="J39" s="107"/>
      <c r="K39" s="192"/>
    </row>
    <row r="40" spans="1:11" s="144" customFormat="1" ht="15.75" hidden="1" customHeight="1" x14ac:dyDescent="0.25">
      <c r="A40" s="106"/>
      <c r="B40" s="94" t="s">
        <v>208</v>
      </c>
      <c r="C40" s="100" t="s">
        <v>184</v>
      </c>
      <c r="D40" s="104" t="s">
        <v>186</v>
      </c>
      <c r="E40" s="105">
        <v>43320</v>
      </c>
      <c r="F40" s="145" t="s">
        <v>236</v>
      </c>
      <c r="G40" s="143">
        <v>5280</v>
      </c>
      <c r="H40" s="94"/>
      <c r="I40" s="94"/>
      <c r="J40" s="107"/>
      <c r="K40" s="192"/>
    </row>
    <row r="41" spans="1:11" s="144" customFormat="1" ht="15.75" hidden="1" customHeight="1" x14ac:dyDescent="0.25">
      <c r="A41" s="106"/>
      <c r="B41" s="142" t="s">
        <v>208</v>
      </c>
      <c r="C41" s="100" t="s">
        <v>184</v>
      </c>
      <c r="D41" s="104" t="s">
        <v>186</v>
      </c>
      <c r="E41" s="105">
        <v>43399</v>
      </c>
      <c r="F41" s="142" t="s">
        <v>237</v>
      </c>
      <c r="G41" s="146">
        <v>5695</v>
      </c>
      <c r="H41" s="94"/>
      <c r="I41" s="94"/>
      <c r="J41" s="107"/>
      <c r="K41" s="192"/>
    </row>
    <row r="42" spans="1:11" s="144" customFormat="1" ht="15.75" hidden="1" customHeight="1" x14ac:dyDescent="0.25">
      <c r="A42" s="106"/>
      <c r="B42" s="150" t="s">
        <v>238</v>
      </c>
      <c r="C42" s="100" t="s">
        <v>184</v>
      </c>
      <c r="D42" s="104" t="s">
        <v>186</v>
      </c>
      <c r="E42" s="151">
        <v>43742</v>
      </c>
      <c r="F42" s="152" t="s">
        <v>239</v>
      </c>
      <c r="G42" s="153">
        <v>11450</v>
      </c>
      <c r="H42" s="94"/>
      <c r="I42" s="94"/>
      <c r="J42" s="107"/>
      <c r="K42" s="192"/>
    </row>
    <row r="43" spans="1:11" s="144" customFormat="1" ht="15.75" hidden="1" customHeight="1" x14ac:dyDescent="0.25">
      <c r="A43" s="106"/>
      <c r="B43" s="142" t="s">
        <v>240</v>
      </c>
      <c r="C43" s="100" t="s">
        <v>184</v>
      </c>
      <c r="D43" s="104" t="s">
        <v>186</v>
      </c>
      <c r="E43" s="105">
        <v>43846</v>
      </c>
      <c r="F43" s="142" t="s">
        <v>241</v>
      </c>
      <c r="G43" s="146">
        <v>4995</v>
      </c>
      <c r="H43" s="94"/>
      <c r="I43" s="94"/>
      <c r="J43" s="107"/>
      <c r="K43" s="192"/>
    </row>
    <row r="44" spans="1:11" s="144" customFormat="1" ht="15.75" hidden="1" customHeight="1" x14ac:dyDescent="0.25">
      <c r="A44" s="106"/>
      <c r="B44" s="99" t="s">
        <v>242</v>
      </c>
      <c r="C44" s="100" t="s">
        <v>184</v>
      </c>
      <c r="D44" s="104" t="s">
        <v>186</v>
      </c>
      <c r="E44" s="105">
        <v>43846</v>
      </c>
      <c r="F44" s="142" t="s">
        <v>243</v>
      </c>
      <c r="G44" s="143">
        <v>7595</v>
      </c>
      <c r="H44" s="94"/>
      <c r="I44" s="94"/>
      <c r="J44" s="107"/>
      <c r="K44" s="192"/>
    </row>
    <row r="45" spans="1:11" s="144" customFormat="1" ht="15.75" hidden="1" customHeight="1" x14ac:dyDescent="0.25">
      <c r="A45" s="106"/>
      <c r="B45" s="142" t="s">
        <v>244</v>
      </c>
      <c r="C45" s="100" t="s">
        <v>184</v>
      </c>
      <c r="D45" s="104" t="s">
        <v>186</v>
      </c>
      <c r="E45" s="105">
        <v>39091</v>
      </c>
      <c r="F45" s="145" t="s">
        <v>245</v>
      </c>
      <c r="G45" s="143">
        <v>7222.5</v>
      </c>
      <c r="H45" s="94"/>
      <c r="I45" s="94"/>
      <c r="J45" s="107"/>
      <c r="K45" s="192"/>
    </row>
    <row r="46" spans="1:11" s="144" customFormat="1" ht="15.75" hidden="1" customHeight="1" x14ac:dyDescent="0.25">
      <c r="A46" s="106"/>
      <c r="B46" s="94" t="s">
        <v>246</v>
      </c>
      <c r="C46" s="100" t="s">
        <v>184</v>
      </c>
      <c r="D46" s="104" t="s">
        <v>186</v>
      </c>
      <c r="E46" s="105">
        <v>39091</v>
      </c>
      <c r="F46" s="145" t="s">
        <v>247</v>
      </c>
      <c r="G46" s="143">
        <v>3895</v>
      </c>
      <c r="H46" s="94"/>
      <c r="I46" s="94"/>
      <c r="J46" s="107"/>
      <c r="K46" s="192"/>
    </row>
    <row r="47" spans="1:11" s="144" customFormat="1" ht="15.75" hidden="1" customHeight="1" x14ac:dyDescent="0.25">
      <c r="A47" s="106"/>
      <c r="B47" s="94" t="s">
        <v>246</v>
      </c>
      <c r="C47" s="100" t="s">
        <v>184</v>
      </c>
      <c r="D47" s="104" t="s">
        <v>186</v>
      </c>
      <c r="E47" s="105">
        <v>38510</v>
      </c>
      <c r="F47" s="145" t="s">
        <v>248</v>
      </c>
      <c r="G47" s="143">
        <v>3950</v>
      </c>
      <c r="H47" s="94"/>
      <c r="I47" s="94"/>
      <c r="J47" s="107"/>
      <c r="K47" s="192"/>
    </row>
    <row r="48" spans="1:11" s="144" customFormat="1" ht="15.75" hidden="1" customHeight="1" x14ac:dyDescent="0.25">
      <c r="A48" s="106"/>
      <c r="B48" s="99" t="s">
        <v>249</v>
      </c>
      <c r="C48" s="100" t="s">
        <v>184</v>
      </c>
      <c r="D48" s="104" t="s">
        <v>186</v>
      </c>
      <c r="E48" s="105">
        <v>39966</v>
      </c>
      <c r="F48" s="145" t="s">
        <v>250</v>
      </c>
      <c r="G48" s="143">
        <v>3900</v>
      </c>
      <c r="H48" s="94"/>
      <c r="I48" s="94"/>
      <c r="J48" s="107"/>
      <c r="K48" s="192"/>
    </row>
    <row r="49" spans="1:11" s="144" customFormat="1" ht="15.75" hidden="1" customHeight="1" x14ac:dyDescent="0.25">
      <c r="A49" s="106"/>
      <c r="B49" s="99" t="s">
        <v>251</v>
      </c>
      <c r="C49" s="100" t="s">
        <v>184</v>
      </c>
      <c r="D49" s="104" t="s">
        <v>186</v>
      </c>
      <c r="E49" s="105">
        <v>42818</v>
      </c>
      <c r="F49" s="145" t="s">
        <v>252</v>
      </c>
      <c r="G49" s="143">
        <v>4198</v>
      </c>
      <c r="H49" s="94"/>
      <c r="I49" s="94"/>
      <c r="J49" s="107"/>
      <c r="K49" s="192"/>
    </row>
    <row r="50" spans="1:11" ht="15.75" hidden="1" customHeight="1" x14ac:dyDescent="0.25">
      <c r="A50" s="93"/>
      <c r="B50" s="99" t="s">
        <v>253</v>
      </c>
      <c r="C50" s="100" t="s">
        <v>184</v>
      </c>
      <c r="D50" s="104" t="s">
        <v>186</v>
      </c>
      <c r="E50" s="105">
        <v>37673</v>
      </c>
      <c r="F50" s="142" t="s">
        <v>254</v>
      </c>
      <c r="G50" s="143">
        <v>660</v>
      </c>
      <c r="H50" s="94"/>
      <c r="I50" s="94"/>
      <c r="J50" s="98"/>
      <c r="K50" s="118"/>
    </row>
    <row r="51" spans="1:11" ht="15.75" hidden="1" customHeight="1" x14ac:dyDescent="0.25">
      <c r="A51" s="93"/>
      <c r="B51" s="94" t="s">
        <v>255</v>
      </c>
      <c r="C51" s="100" t="s">
        <v>184</v>
      </c>
      <c r="D51" s="104" t="s">
        <v>186</v>
      </c>
      <c r="E51" s="105">
        <v>38442</v>
      </c>
      <c r="F51" s="145" t="s">
        <v>256</v>
      </c>
      <c r="G51" s="143">
        <v>2620</v>
      </c>
      <c r="H51" s="94"/>
      <c r="I51" s="94"/>
      <c r="J51" s="98"/>
      <c r="K51" s="118"/>
    </row>
    <row r="52" spans="1:11" ht="15.75" hidden="1" customHeight="1" x14ac:dyDescent="0.25">
      <c r="A52" s="93"/>
      <c r="B52" s="99" t="s">
        <v>257</v>
      </c>
      <c r="C52" s="100" t="s">
        <v>184</v>
      </c>
      <c r="D52" s="104" t="s">
        <v>186</v>
      </c>
      <c r="E52" s="105">
        <v>42614</v>
      </c>
      <c r="F52" s="145" t="s">
        <v>258</v>
      </c>
      <c r="G52" s="143">
        <v>3350</v>
      </c>
      <c r="H52" s="94"/>
      <c r="I52" s="94"/>
      <c r="J52" s="98"/>
      <c r="K52" s="118"/>
    </row>
    <row r="53" spans="1:11" ht="15.75" hidden="1" customHeight="1" x14ac:dyDescent="0.25">
      <c r="A53" s="93"/>
      <c r="B53" s="145" t="s">
        <v>257</v>
      </c>
      <c r="C53" s="100" t="s">
        <v>184</v>
      </c>
      <c r="D53" s="104" t="s">
        <v>186</v>
      </c>
      <c r="E53" s="105">
        <v>42818</v>
      </c>
      <c r="F53" s="145" t="s">
        <v>259</v>
      </c>
      <c r="G53" s="143">
        <v>3174.7</v>
      </c>
      <c r="H53" s="94"/>
      <c r="I53" s="94"/>
      <c r="J53" s="98"/>
      <c r="K53" s="118"/>
    </row>
    <row r="54" spans="1:11" ht="15.75" hidden="1" customHeight="1" x14ac:dyDescent="0.25">
      <c r="A54" s="93"/>
      <c r="B54" s="94" t="s">
        <v>257</v>
      </c>
      <c r="C54" s="100" t="s">
        <v>184</v>
      </c>
      <c r="D54" s="104" t="s">
        <v>186</v>
      </c>
      <c r="E54" s="105">
        <v>42818</v>
      </c>
      <c r="F54" s="145" t="s">
        <v>260</v>
      </c>
      <c r="G54" s="143">
        <v>3200</v>
      </c>
      <c r="H54" s="94"/>
      <c r="I54" s="94"/>
      <c r="J54" s="98"/>
      <c r="K54" s="118"/>
    </row>
    <row r="55" spans="1:11" ht="15.75" hidden="1" customHeight="1" x14ac:dyDescent="0.25">
      <c r="A55" s="93"/>
      <c r="B55" s="99" t="s">
        <v>206</v>
      </c>
      <c r="C55" s="100" t="s">
        <v>184</v>
      </c>
      <c r="D55" s="104" t="s">
        <v>186</v>
      </c>
      <c r="E55" s="105">
        <v>42214</v>
      </c>
      <c r="F55" s="145" t="s">
        <v>261</v>
      </c>
      <c r="G55" s="143">
        <v>3530</v>
      </c>
      <c r="H55" s="94"/>
      <c r="I55" s="94"/>
      <c r="J55" s="98"/>
      <c r="K55" s="118"/>
    </row>
    <row r="56" spans="1:11" ht="15.75" hidden="1" customHeight="1" x14ac:dyDescent="0.25">
      <c r="A56" s="93"/>
      <c r="B56" s="99" t="s">
        <v>262</v>
      </c>
      <c r="C56" s="100" t="s">
        <v>184</v>
      </c>
      <c r="D56" s="104" t="s">
        <v>186</v>
      </c>
      <c r="E56" s="149">
        <v>42598</v>
      </c>
      <c r="F56" s="145" t="s">
        <v>263</v>
      </c>
      <c r="G56" s="143">
        <v>3200</v>
      </c>
      <c r="H56" s="94"/>
      <c r="I56" s="94"/>
      <c r="J56" s="98"/>
      <c r="K56" s="118"/>
    </row>
    <row r="57" spans="1:11" ht="15.75" hidden="1" customHeight="1" x14ac:dyDescent="0.25">
      <c r="A57" s="93"/>
      <c r="B57" s="145" t="s">
        <v>264</v>
      </c>
      <c r="C57" s="100" t="s">
        <v>184</v>
      </c>
      <c r="D57" s="104" t="s">
        <v>186</v>
      </c>
      <c r="E57" s="105">
        <v>43054</v>
      </c>
      <c r="F57" s="145" t="s">
        <v>265</v>
      </c>
      <c r="G57" s="143">
        <v>1805</v>
      </c>
      <c r="H57" s="94"/>
      <c r="I57" s="94"/>
      <c r="J57" s="98"/>
      <c r="K57" s="118"/>
    </row>
    <row r="58" spans="1:11" ht="15.75" hidden="1" customHeight="1" x14ac:dyDescent="0.25">
      <c r="A58" s="93"/>
      <c r="B58" s="142" t="s">
        <v>266</v>
      </c>
      <c r="C58" s="100" t="s">
        <v>184</v>
      </c>
      <c r="D58" s="104" t="s">
        <v>186</v>
      </c>
      <c r="E58" s="105">
        <v>43054</v>
      </c>
      <c r="F58" s="142" t="s">
        <v>267</v>
      </c>
      <c r="G58" s="146">
        <v>1805</v>
      </c>
      <c r="H58" s="94"/>
      <c r="I58" s="94"/>
      <c r="J58" s="98"/>
      <c r="K58" s="118"/>
    </row>
    <row r="59" spans="1:11" ht="15.75" hidden="1" customHeight="1" x14ac:dyDescent="0.25">
      <c r="A59" s="93"/>
      <c r="B59" s="145" t="s">
        <v>268</v>
      </c>
      <c r="C59" s="100" t="s">
        <v>184</v>
      </c>
      <c r="D59" s="104" t="s">
        <v>186</v>
      </c>
      <c r="E59" s="105">
        <v>43262</v>
      </c>
      <c r="F59" s="145" t="s">
        <v>269</v>
      </c>
      <c r="G59" s="143">
        <v>1805</v>
      </c>
      <c r="H59" s="94"/>
      <c r="I59" s="94"/>
      <c r="J59" s="98"/>
      <c r="K59" s="118"/>
    </row>
    <row r="60" spans="1:11" ht="15.75" hidden="1" customHeight="1" x14ac:dyDescent="0.25">
      <c r="A60" s="93"/>
      <c r="B60" s="142" t="s">
        <v>270</v>
      </c>
      <c r="C60" s="100" t="s">
        <v>184</v>
      </c>
      <c r="D60" s="104" t="s">
        <v>186</v>
      </c>
      <c r="E60" s="105">
        <v>43305</v>
      </c>
      <c r="F60" s="145" t="s">
        <v>271</v>
      </c>
      <c r="G60" s="146">
        <v>1950</v>
      </c>
      <c r="H60" s="94"/>
      <c r="I60" s="94"/>
      <c r="J60" s="98"/>
      <c r="K60" s="118"/>
    </row>
    <row r="61" spans="1:11" ht="15.75" hidden="1" customHeight="1" x14ac:dyDescent="0.25">
      <c r="A61" s="141"/>
      <c r="B61" s="145" t="s">
        <v>272</v>
      </c>
      <c r="C61" s="100" t="s">
        <v>184</v>
      </c>
      <c r="D61" s="104" t="s">
        <v>186</v>
      </c>
      <c r="E61" s="105">
        <v>43305</v>
      </c>
      <c r="F61" s="142" t="s">
        <v>273</v>
      </c>
      <c r="G61" s="143">
        <v>1950</v>
      </c>
      <c r="H61" s="94"/>
      <c r="I61" s="94"/>
      <c r="J61" s="98"/>
      <c r="K61" s="118"/>
    </row>
    <row r="62" spans="1:11" ht="15.75" hidden="1" customHeight="1" x14ac:dyDescent="0.25">
      <c r="A62" s="141"/>
      <c r="B62" s="142" t="s">
        <v>272</v>
      </c>
      <c r="C62" s="100" t="s">
        <v>184</v>
      </c>
      <c r="D62" s="104" t="s">
        <v>186</v>
      </c>
      <c r="E62" s="105">
        <v>43399</v>
      </c>
      <c r="F62" s="142" t="s">
        <v>274</v>
      </c>
      <c r="G62" s="146">
        <v>1950</v>
      </c>
      <c r="H62" s="94"/>
      <c r="I62" s="94"/>
      <c r="J62" s="98"/>
      <c r="K62" s="118"/>
    </row>
    <row r="63" spans="1:11" ht="15.75" hidden="1" customHeight="1" x14ac:dyDescent="0.25">
      <c r="A63" s="141"/>
      <c r="B63" s="142" t="s">
        <v>275</v>
      </c>
      <c r="C63" s="100" t="s">
        <v>184</v>
      </c>
      <c r="D63" s="104" t="s">
        <v>186</v>
      </c>
      <c r="E63" s="105">
        <v>43742</v>
      </c>
      <c r="F63" s="145" t="s">
        <v>276</v>
      </c>
      <c r="G63" s="143">
        <v>3490</v>
      </c>
      <c r="H63" s="94"/>
      <c r="I63" s="94"/>
      <c r="J63" s="98"/>
      <c r="K63" s="118"/>
    </row>
    <row r="64" spans="1:11" ht="15.75" hidden="1" customHeight="1" x14ac:dyDescent="0.25">
      <c r="A64" s="141"/>
      <c r="B64" s="145" t="s">
        <v>277</v>
      </c>
      <c r="C64" s="100" t="s">
        <v>184</v>
      </c>
      <c r="D64" s="104" t="s">
        <v>186</v>
      </c>
      <c r="E64" s="105">
        <v>43742</v>
      </c>
      <c r="F64" s="145" t="s">
        <v>278</v>
      </c>
      <c r="G64" s="143">
        <v>3490</v>
      </c>
      <c r="H64" s="94"/>
      <c r="I64" s="94"/>
      <c r="J64" s="98"/>
      <c r="K64" s="118"/>
    </row>
    <row r="65" spans="1:11" ht="15.75" hidden="1" customHeight="1" x14ac:dyDescent="0.25">
      <c r="A65" s="141"/>
      <c r="B65" s="99" t="s">
        <v>279</v>
      </c>
      <c r="C65" s="100" t="s">
        <v>184</v>
      </c>
      <c r="D65" s="104" t="s">
        <v>186</v>
      </c>
      <c r="E65" s="105">
        <v>43742</v>
      </c>
      <c r="F65" s="145" t="s">
        <v>280</v>
      </c>
      <c r="G65" s="143">
        <v>3490</v>
      </c>
      <c r="H65" s="94"/>
      <c r="I65" s="94"/>
      <c r="J65" s="98"/>
      <c r="K65" s="118"/>
    </row>
    <row r="66" spans="1:11" ht="15.75" hidden="1" customHeight="1" x14ac:dyDescent="0.25">
      <c r="A66" s="141"/>
      <c r="B66" s="145" t="s">
        <v>281</v>
      </c>
      <c r="C66" s="100" t="s">
        <v>184</v>
      </c>
      <c r="D66" s="104" t="s">
        <v>186</v>
      </c>
      <c r="E66" s="105">
        <v>43895</v>
      </c>
      <c r="F66" s="145" t="s">
        <v>282</v>
      </c>
      <c r="G66" s="143">
        <v>2150</v>
      </c>
      <c r="H66" s="94"/>
      <c r="I66" s="94"/>
      <c r="J66" s="98"/>
      <c r="K66" s="118"/>
    </row>
    <row r="67" spans="1:11" ht="15.75" hidden="1" customHeight="1" x14ac:dyDescent="0.25">
      <c r="A67" s="141"/>
      <c r="B67" s="145" t="s">
        <v>281</v>
      </c>
      <c r="C67" s="100" t="s">
        <v>184</v>
      </c>
      <c r="D67" s="104" t="s">
        <v>186</v>
      </c>
      <c r="E67" s="105">
        <v>43895</v>
      </c>
      <c r="F67" s="145" t="s">
        <v>283</v>
      </c>
      <c r="G67" s="143">
        <v>2150</v>
      </c>
      <c r="H67" s="94"/>
      <c r="I67" s="94"/>
      <c r="J67" s="98"/>
      <c r="K67" s="118"/>
    </row>
    <row r="68" spans="1:11" ht="15.75" hidden="1" customHeight="1" x14ac:dyDescent="0.25">
      <c r="A68" s="141"/>
      <c r="B68" s="145" t="s">
        <v>281</v>
      </c>
      <c r="C68" s="100" t="s">
        <v>184</v>
      </c>
      <c r="D68" s="104" t="s">
        <v>186</v>
      </c>
      <c r="E68" s="105">
        <v>43973</v>
      </c>
      <c r="F68" s="145" t="s">
        <v>284</v>
      </c>
      <c r="G68" s="143">
        <v>2150</v>
      </c>
      <c r="H68" s="94"/>
      <c r="I68" s="94"/>
      <c r="J68" s="98"/>
      <c r="K68" s="118"/>
    </row>
    <row r="69" spans="1:11" ht="15.75" hidden="1" customHeight="1" x14ac:dyDescent="0.25">
      <c r="A69" s="141"/>
      <c r="B69" s="145" t="s">
        <v>281</v>
      </c>
      <c r="C69" s="100" t="s">
        <v>184</v>
      </c>
      <c r="D69" s="104" t="s">
        <v>186</v>
      </c>
      <c r="E69" s="105">
        <v>43973</v>
      </c>
      <c r="F69" s="145" t="s">
        <v>285</v>
      </c>
      <c r="G69" s="143">
        <v>2150</v>
      </c>
      <c r="H69" s="94"/>
      <c r="I69" s="94"/>
      <c r="J69" s="98"/>
      <c r="K69" s="118"/>
    </row>
    <row r="70" spans="1:11" ht="15.75" hidden="1" customHeight="1" x14ac:dyDescent="0.25">
      <c r="A70" s="141"/>
      <c r="B70" s="142" t="s">
        <v>286</v>
      </c>
      <c r="C70" s="100" t="s">
        <v>184</v>
      </c>
      <c r="D70" s="104" t="s">
        <v>186</v>
      </c>
      <c r="E70" s="105">
        <v>41985</v>
      </c>
      <c r="F70" s="145" t="s">
        <v>287</v>
      </c>
      <c r="G70" s="143">
        <v>3710</v>
      </c>
      <c r="H70" s="94"/>
      <c r="I70" s="94"/>
      <c r="J70" s="98"/>
      <c r="K70" s="118"/>
    </row>
    <row r="71" spans="1:11" ht="15.75" hidden="1" customHeight="1" x14ac:dyDescent="0.25">
      <c r="A71" s="93"/>
      <c r="B71" s="99" t="s">
        <v>288</v>
      </c>
      <c r="C71" s="100" t="s">
        <v>184</v>
      </c>
      <c r="D71" s="104" t="s">
        <v>186</v>
      </c>
      <c r="E71" s="105">
        <v>42221</v>
      </c>
      <c r="F71" s="145" t="s">
        <v>289</v>
      </c>
      <c r="G71" s="143">
        <v>4022.7</v>
      </c>
      <c r="H71" s="94"/>
      <c r="I71" s="94"/>
      <c r="J71" s="98"/>
      <c r="K71" s="118"/>
    </row>
    <row r="72" spans="1:11" ht="15.75" hidden="1" customHeight="1" x14ac:dyDescent="0.25">
      <c r="A72" s="141"/>
      <c r="B72" s="142" t="s">
        <v>290</v>
      </c>
      <c r="C72" s="100" t="s">
        <v>184</v>
      </c>
      <c r="D72" s="104" t="s">
        <v>186</v>
      </c>
      <c r="E72" s="105">
        <v>40336</v>
      </c>
      <c r="F72" s="142" t="s">
        <v>291</v>
      </c>
      <c r="G72" s="146">
        <v>7579</v>
      </c>
      <c r="H72" s="94"/>
      <c r="I72" s="94"/>
      <c r="J72" s="98"/>
      <c r="K72" s="118"/>
    </row>
    <row r="73" spans="1:11" ht="15.75" hidden="1" customHeight="1" x14ac:dyDescent="0.25">
      <c r="A73" s="93"/>
      <c r="B73" s="142" t="s">
        <v>292</v>
      </c>
      <c r="C73" s="100" t="s">
        <v>184</v>
      </c>
      <c r="D73" s="104" t="s">
        <v>186</v>
      </c>
      <c r="E73" s="105">
        <v>39990</v>
      </c>
      <c r="F73" s="145" t="s">
        <v>293</v>
      </c>
      <c r="G73" s="143">
        <v>6000</v>
      </c>
      <c r="H73" s="94"/>
      <c r="I73" s="94"/>
      <c r="J73" s="98"/>
      <c r="K73" s="118"/>
    </row>
    <row r="74" spans="1:11" ht="15.75" hidden="1" customHeight="1" x14ac:dyDescent="0.25">
      <c r="A74" s="93"/>
      <c r="B74" s="94" t="s">
        <v>294</v>
      </c>
      <c r="C74" s="100" t="s">
        <v>184</v>
      </c>
      <c r="D74" s="104" t="s">
        <v>186</v>
      </c>
      <c r="E74" s="105">
        <v>42660</v>
      </c>
      <c r="F74" s="145" t="s">
        <v>295</v>
      </c>
      <c r="G74" s="146">
        <v>3917</v>
      </c>
      <c r="H74" s="94"/>
      <c r="I74" s="94"/>
      <c r="J74" s="98"/>
      <c r="K74" s="118"/>
    </row>
    <row r="75" spans="1:11" ht="15.75" hidden="1" customHeight="1" x14ac:dyDescent="0.25">
      <c r="A75" s="93"/>
      <c r="B75" s="99" t="s">
        <v>296</v>
      </c>
      <c r="C75" s="100" t="s">
        <v>184</v>
      </c>
      <c r="D75" s="104" t="s">
        <v>186</v>
      </c>
      <c r="E75" s="105">
        <v>41113</v>
      </c>
      <c r="F75" s="145" t="s">
        <v>297</v>
      </c>
      <c r="G75" s="143">
        <v>4187</v>
      </c>
      <c r="H75" s="94"/>
      <c r="I75" s="94"/>
      <c r="J75" s="98"/>
      <c r="K75" s="118"/>
    </row>
    <row r="76" spans="1:11" ht="15.75" hidden="1" customHeight="1" x14ac:dyDescent="0.25">
      <c r="A76" s="93"/>
      <c r="B76" s="155" t="s">
        <v>298</v>
      </c>
      <c r="C76" s="100" t="s">
        <v>184</v>
      </c>
      <c r="D76" s="104" t="s">
        <v>186</v>
      </c>
      <c r="E76" s="105">
        <v>38630</v>
      </c>
      <c r="F76" s="142" t="s">
        <v>299</v>
      </c>
      <c r="G76" s="146">
        <v>3160.68</v>
      </c>
      <c r="H76" s="94"/>
      <c r="I76" s="94"/>
      <c r="J76" s="98"/>
      <c r="K76" s="118"/>
    </row>
    <row r="77" spans="1:11" ht="15.75" hidden="1" customHeight="1" x14ac:dyDescent="0.25">
      <c r="A77" s="93" t="s">
        <v>39</v>
      </c>
      <c r="B77" s="145"/>
      <c r="C77" s="100"/>
      <c r="D77" s="100"/>
      <c r="E77" s="105"/>
      <c r="F77" s="145"/>
      <c r="G77" s="143"/>
      <c r="H77" s="94"/>
      <c r="I77" s="94"/>
      <c r="J77" s="98"/>
      <c r="K77" s="118"/>
    </row>
    <row r="78" spans="1:11" s="136" customFormat="1" ht="15.75" hidden="1" customHeight="1" x14ac:dyDescent="0.25">
      <c r="A78" s="108"/>
      <c r="B78" s="99" t="s">
        <v>300</v>
      </c>
      <c r="C78" s="100"/>
      <c r="D78" s="100"/>
      <c r="E78" s="156">
        <v>39538</v>
      </c>
      <c r="F78" s="145" t="s">
        <v>301</v>
      </c>
      <c r="G78" s="141">
        <v>6261</v>
      </c>
      <c r="H78" s="94"/>
      <c r="I78" s="94"/>
      <c r="J78" s="94"/>
      <c r="K78" s="116"/>
    </row>
    <row r="79" spans="1:11" ht="15.75" hidden="1" customHeight="1" x14ac:dyDescent="0.25">
      <c r="A79" s="93"/>
      <c r="B79" s="94" t="s">
        <v>302</v>
      </c>
      <c r="C79" s="100" t="s">
        <v>184</v>
      </c>
      <c r="D79" s="104" t="s">
        <v>186</v>
      </c>
      <c r="E79" s="105">
        <v>43601</v>
      </c>
      <c r="F79" s="145" t="s">
        <v>303</v>
      </c>
      <c r="G79" s="143">
        <v>7400</v>
      </c>
      <c r="H79" s="94"/>
      <c r="I79" s="94"/>
      <c r="J79" s="98"/>
      <c r="K79" s="118"/>
    </row>
    <row r="80" spans="1:11" ht="15.75" hidden="1" customHeight="1" x14ac:dyDescent="0.25">
      <c r="A80" s="93"/>
      <c r="B80" s="142" t="s">
        <v>304</v>
      </c>
      <c r="C80" s="100" t="s">
        <v>184</v>
      </c>
      <c r="D80" s="104" t="s">
        <v>186</v>
      </c>
      <c r="E80" s="105">
        <v>39979</v>
      </c>
      <c r="F80" s="145" t="s">
        <v>305</v>
      </c>
      <c r="G80" s="143">
        <v>8850</v>
      </c>
      <c r="H80" s="94"/>
      <c r="I80" s="94"/>
      <c r="J80" s="98"/>
      <c r="K80" s="118"/>
    </row>
    <row r="81" spans="1:11" ht="15.75" hidden="1" customHeight="1" x14ac:dyDescent="0.25">
      <c r="A81" s="93"/>
      <c r="B81" s="94" t="s">
        <v>304</v>
      </c>
      <c r="C81" s="100" t="s">
        <v>184</v>
      </c>
      <c r="D81" s="104" t="s">
        <v>186</v>
      </c>
      <c r="E81" s="105">
        <v>39979</v>
      </c>
      <c r="F81" s="145" t="s">
        <v>306</v>
      </c>
      <c r="G81" s="143">
        <v>8850</v>
      </c>
      <c r="H81" s="94"/>
      <c r="I81" s="94"/>
      <c r="J81" s="98"/>
      <c r="K81" s="118"/>
    </row>
    <row r="82" spans="1:11" ht="15.75" hidden="1" customHeight="1" x14ac:dyDescent="0.25">
      <c r="A82" s="93"/>
      <c r="B82" s="142" t="s">
        <v>304</v>
      </c>
      <c r="C82" s="100" t="s">
        <v>184</v>
      </c>
      <c r="D82" s="104" t="s">
        <v>186</v>
      </c>
      <c r="E82" s="105">
        <v>39988</v>
      </c>
      <c r="F82" s="142" t="s">
        <v>307</v>
      </c>
      <c r="G82" s="146">
        <v>8850</v>
      </c>
      <c r="H82" s="94"/>
      <c r="I82" s="94"/>
      <c r="J82" s="98"/>
      <c r="K82" s="118"/>
    </row>
    <row r="83" spans="1:11" ht="15.75" hidden="1" customHeight="1" x14ac:dyDescent="0.25">
      <c r="A83" s="93"/>
      <c r="B83" s="145" t="s">
        <v>304</v>
      </c>
      <c r="C83" s="100" t="s">
        <v>184</v>
      </c>
      <c r="D83" s="104" t="s">
        <v>186</v>
      </c>
      <c r="E83" s="105">
        <v>39994</v>
      </c>
      <c r="F83" s="145" t="s">
        <v>308</v>
      </c>
      <c r="G83" s="143">
        <v>8850</v>
      </c>
      <c r="H83" s="94"/>
      <c r="I83" s="94"/>
      <c r="J83" s="98"/>
      <c r="K83" s="118"/>
    </row>
    <row r="84" spans="1:11" ht="15.75" hidden="1" customHeight="1" x14ac:dyDescent="0.25">
      <c r="A84" s="93"/>
      <c r="B84" s="142" t="s">
        <v>309</v>
      </c>
      <c r="C84" s="100" t="s">
        <v>184</v>
      </c>
      <c r="D84" s="104" t="s">
        <v>186</v>
      </c>
      <c r="E84" s="105">
        <v>39171</v>
      </c>
      <c r="F84" s="145" t="s">
        <v>310</v>
      </c>
      <c r="G84" s="143">
        <v>2500</v>
      </c>
      <c r="H84" s="94"/>
      <c r="I84" s="94"/>
      <c r="J84" s="98"/>
      <c r="K84" s="118"/>
    </row>
    <row r="85" spans="1:11" s="136" customFormat="1" ht="15.75" hidden="1" customHeight="1" x14ac:dyDescent="0.25">
      <c r="A85" s="108"/>
      <c r="B85" s="99" t="s">
        <v>304</v>
      </c>
      <c r="C85" s="100" t="s">
        <v>184</v>
      </c>
      <c r="D85" s="104" t="s">
        <v>186</v>
      </c>
      <c r="E85" s="105">
        <v>39994</v>
      </c>
      <c r="F85" s="145" t="s">
        <v>311</v>
      </c>
      <c r="G85" s="143">
        <v>8850</v>
      </c>
      <c r="H85" s="94"/>
      <c r="I85" s="94"/>
      <c r="J85" s="94"/>
      <c r="K85" s="116"/>
    </row>
    <row r="86" spans="1:11" s="136" customFormat="1" ht="15.75" hidden="1" customHeight="1" x14ac:dyDescent="0.25">
      <c r="A86" s="108"/>
      <c r="B86" s="99" t="s">
        <v>312</v>
      </c>
      <c r="C86" s="100" t="s">
        <v>184</v>
      </c>
      <c r="D86" s="104" t="s">
        <v>186</v>
      </c>
      <c r="E86" s="105">
        <v>42986</v>
      </c>
      <c r="F86" s="145" t="s">
        <v>313</v>
      </c>
      <c r="G86" s="143">
        <v>4570</v>
      </c>
      <c r="H86" s="94"/>
      <c r="I86" s="94"/>
      <c r="J86" s="94"/>
      <c r="K86" s="116"/>
    </row>
    <row r="87" spans="1:11" ht="15.75" hidden="1" customHeight="1" x14ac:dyDescent="0.25">
      <c r="A87" s="93"/>
      <c r="B87" s="99" t="s">
        <v>314</v>
      </c>
      <c r="C87" s="100" t="s">
        <v>184</v>
      </c>
      <c r="D87" s="104" t="s">
        <v>186</v>
      </c>
      <c r="E87" s="105">
        <v>40190</v>
      </c>
      <c r="F87" s="145" t="s">
        <v>315</v>
      </c>
      <c r="G87" s="143">
        <v>5850</v>
      </c>
      <c r="H87" s="94"/>
      <c r="I87" s="94"/>
      <c r="J87" s="98"/>
      <c r="K87" s="118"/>
    </row>
    <row r="88" spans="1:11" ht="15.75" hidden="1" customHeight="1" x14ac:dyDescent="0.25">
      <c r="A88" s="93"/>
      <c r="B88" s="99" t="s">
        <v>314</v>
      </c>
      <c r="C88" s="100" t="s">
        <v>184</v>
      </c>
      <c r="D88" s="104" t="s">
        <v>186</v>
      </c>
      <c r="E88" s="105">
        <v>39944</v>
      </c>
      <c r="F88" s="145" t="s">
        <v>316</v>
      </c>
      <c r="G88" s="143">
        <v>5850</v>
      </c>
      <c r="H88" s="94"/>
      <c r="I88" s="94"/>
      <c r="J88" s="98"/>
      <c r="K88" s="118"/>
    </row>
    <row r="89" spans="1:11" ht="15.75" hidden="1" customHeight="1" x14ac:dyDescent="0.25">
      <c r="A89" s="93"/>
      <c r="B89" s="145" t="s">
        <v>317</v>
      </c>
      <c r="C89" s="100" t="s">
        <v>184</v>
      </c>
      <c r="D89" s="104" t="s">
        <v>186</v>
      </c>
      <c r="E89" s="105" t="s">
        <v>318</v>
      </c>
      <c r="F89" s="142" t="s">
        <v>319</v>
      </c>
      <c r="G89" s="143">
        <v>8250</v>
      </c>
      <c r="H89" s="94"/>
      <c r="I89" s="94"/>
      <c r="J89" s="98"/>
      <c r="K89" s="118"/>
    </row>
    <row r="90" spans="1:11" ht="15.75" hidden="1" customHeight="1" x14ac:dyDescent="0.25">
      <c r="A90" s="93"/>
      <c r="B90" s="142" t="s">
        <v>314</v>
      </c>
      <c r="C90" s="100" t="s">
        <v>184</v>
      </c>
      <c r="D90" s="104" t="s">
        <v>186</v>
      </c>
      <c r="E90" s="105">
        <v>39944</v>
      </c>
      <c r="F90" s="142" t="s">
        <v>320</v>
      </c>
      <c r="G90" s="146">
        <v>5850</v>
      </c>
      <c r="H90" s="94"/>
      <c r="I90" s="94"/>
      <c r="J90" s="98"/>
      <c r="K90" s="118"/>
    </row>
    <row r="91" spans="1:11" ht="15.75" hidden="1" customHeight="1" x14ac:dyDescent="0.25">
      <c r="A91" s="93"/>
      <c r="B91" s="142" t="s">
        <v>314</v>
      </c>
      <c r="C91" s="100" t="s">
        <v>184</v>
      </c>
      <c r="D91" s="104" t="s">
        <v>186</v>
      </c>
      <c r="E91" s="105">
        <v>39944</v>
      </c>
      <c r="F91" s="145" t="s">
        <v>321</v>
      </c>
      <c r="G91" s="146">
        <v>5850</v>
      </c>
      <c r="H91" s="94"/>
      <c r="I91" s="94"/>
      <c r="J91" s="98"/>
      <c r="K91" s="118"/>
    </row>
    <row r="92" spans="1:11" ht="15.75" hidden="1" customHeight="1" x14ac:dyDescent="0.25">
      <c r="A92" s="93"/>
      <c r="B92" s="99" t="s">
        <v>304</v>
      </c>
      <c r="C92" s="100" t="s">
        <v>184</v>
      </c>
      <c r="D92" s="104" t="s">
        <v>186</v>
      </c>
      <c r="E92" s="105">
        <v>40533</v>
      </c>
      <c r="F92" s="142" t="s">
        <v>322</v>
      </c>
      <c r="G92" s="146">
        <v>6750</v>
      </c>
      <c r="H92" s="94"/>
      <c r="I92" s="94"/>
      <c r="J92" s="98"/>
      <c r="K92" s="118"/>
    </row>
    <row r="93" spans="1:11" ht="15.75" hidden="1" customHeight="1" x14ac:dyDescent="0.25">
      <c r="A93" s="93"/>
      <c r="B93" s="142" t="s">
        <v>314</v>
      </c>
      <c r="C93" s="100" t="s">
        <v>184</v>
      </c>
      <c r="D93" s="104" t="s">
        <v>186</v>
      </c>
      <c r="E93" s="105">
        <v>39944</v>
      </c>
      <c r="F93" s="142" t="s">
        <v>323</v>
      </c>
      <c r="G93" s="146">
        <v>5850</v>
      </c>
      <c r="H93" s="94"/>
      <c r="I93" s="94"/>
      <c r="J93" s="98"/>
      <c r="K93" s="118"/>
    </row>
    <row r="94" spans="1:11" ht="15.75" hidden="1" customHeight="1" x14ac:dyDescent="0.25">
      <c r="A94" s="93"/>
      <c r="B94" s="142" t="s">
        <v>314</v>
      </c>
      <c r="C94" s="100" t="s">
        <v>184</v>
      </c>
      <c r="D94" s="104" t="s">
        <v>186</v>
      </c>
      <c r="E94" s="105">
        <v>39974</v>
      </c>
      <c r="F94" s="142" t="s">
        <v>324</v>
      </c>
      <c r="G94" s="146">
        <v>5850</v>
      </c>
      <c r="H94" s="94"/>
      <c r="I94" s="94"/>
      <c r="J94" s="98"/>
      <c r="K94" s="118"/>
    </row>
    <row r="95" spans="1:11" ht="15.75" hidden="1" customHeight="1" x14ac:dyDescent="0.25">
      <c r="A95" s="93"/>
      <c r="B95" s="142" t="s">
        <v>314</v>
      </c>
      <c r="C95" s="100" t="s">
        <v>184</v>
      </c>
      <c r="D95" s="104" t="s">
        <v>186</v>
      </c>
      <c r="E95" s="105">
        <v>39989</v>
      </c>
      <c r="F95" s="142" t="s">
        <v>325</v>
      </c>
      <c r="G95" s="146">
        <v>5850</v>
      </c>
      <c r="H95" s="94"/>
      <c r="I95" s="94"/>
      <c r="J95" s="98"/>
      <c r="K95" s="118"/>
    </row>
    <row r="96" spans="1:11" ht="15.75" hidden="1" customHeight="1" x14ac:dyDescent="0.25">
      <c r="A96" s="93"/>
      <c r="B96" s="142" t="s">
        <v>314</v>
      </c>
      <c r="C96" s="100" t="s">
        <v>184</v>
      </c>
      <c r="D96" s="104" t="s">
        <v>186</v>
      </c>
      <c r="E96" s="105">
        <v>39944</v>
      </c>
      <c r="F96" s="145" t="s">
        <v>326</v>
      </c>
      <c r="G96" s="146">
        <v>5850</v>
      </c>
      <c r="H96" s="94"/>
      <c r="I96" s="94"/>
      <c r="J96" s="98"/>
      <c r="K96" s="118"/>
    </row>
    <row r="97" spans="1:11" ht="15.75" hidden="1" customHeight="1" x14ac:dyDescent="0.25">
      <c r="A97" s="93"/>
      <c r="B97" s="142" t="s">
        <v>327</v>
      </c>
      <c r="C97" s="100" t="s">
        <v>184</v>
      </c>
      <c r="D97" s="104" t="s">
        <v>186</v>
      </c>
      <c r="E97" s="105">
        <v>39979</v>
      </c>
      <c r="F97" s="145" t="s">
        <v>328</v>
      </c>
      <c r="G97" s="143">
        <v>8250</v>
      </c>
      <c r="H97" s="94"/>
      <c r="I97" s="94"/>
      <c r="J97" s="98"/>
      <c r="K97" s="118"/>
    </row>
    <row r="98" spans="1:11" ht="15.75" hidden="1" customHeight="1" x14ac:dyDescent="0.25">
      <c r="A98" s="93"/>
      <c r="B98" s="99" t="s">
        <v>329</v>
      </c>
      <c r="C98" s="100" t="s">
        <v>184</v>
      </c>
      <c r="D98" s="104" t="s">
        <v>186</v>
      </c>
      <c r="E98" s="105">
        <v>40602</v>
      </c>
      <c r="F98" s="145" t="s">
        <v>330</v>
      </c>
      <c r="G98" s="143">
        <v>2215</v>
      </c>
      <c r="H98" s="94"/>
      <c r="I98" s="94"/>
      <c r="J98" s="98"/>
      <c r="K98" s="118"/>
    </row>
    <row r="99" spans="1:11" ht="15.75" hidden="1" customHeight="1" x14ac:dyDescent="0.25">
      <c r="A99" s="93"/>
      <c r="B99" s="99" t="s">
        <v>304</v>
      </c>
      <c r="C99" s="100" t="s">
        <v>184</v>
      </c>
      <c r="D99" s="104" t="s">
        <v>186</v>
      </c>
      <c r="E99" s="105">
        <v>42137</v>
      </c>
      <c r="F99" s="142" t="s">
        <v>331</v>
      </c>
      <c r="G99" s="146">
        <v>4570</v>
      </c>
      <c r="H99" s="94"/>
      <c r="I99" s="94"/>
      <c r="J99" s="98"/>
      <c r="K99" s="118"/>
    </row>
    <row r="100" spans="1:11" ht="15.75" hidden="1" customHeight="1" x14ac:dyDescent="0.25">
      <c r="A100" s="93"/>
      <c r="B100" s="99" t="s">
        <v>332</v>
      </c>
      <c r="C100" s="100" t="s">
        <v>184</v>
      </c>
      <c r="D100" s="104" t="s">
        <v>186</v>
      </c>
      <c r="E100" s="105">
        <v>42660</v>
      </c>
      <c r="F100" s="145" t="s">
        <v>333</v>
      </c>
      <c r="G100" s="143">
        <v>3730</v>
      </c>
      <c r="H100" s="94"/>
      <c r="I100" s="94"/>
      <c r="J100" s="98"/>
      <c r="K100" s="118"/>
    </row>
    <row r="101" spans="1:11" ht="15.75" hidden="1" customHeight="1" x14ac:dyDescent="0.25">
      <c r="A101" s="93"/>
      <c r="B101" s="99" t="s">
        <v>332</v>
      </c>
      <c r="C101" s="100" t="s">
        <v>184</v>
      </c>
      <c r="D101" s="104" t="s">
        <v>186</v>
      </c>
      <c r="E101" s="105">
        <v>42660</v>
      </c>
      <c r="F101" s="145" t="s">
        <v>334</v>
      </c>
      <c r="G101" s="143">
        <v>3730</v>
      </c>
      <c r="H101" s="94"/>
      <c r="I101" s="94"/>
      <c r="J101" s="98"/>
      <c r="K101" s="118"/>
    </row>
    <row r="102" spans="1:11" ht="15.75" hidden="1" customHeight="1" x14ac:dyDescent="0.25">
      <c r="A102" s="93"/>
      <c r="B102" s="94" t="s">
        <v>335</v>
      </c>
      <c r="C102" s="100" t="s">
        <v>184</v>
      </c>
      <c r="D102" s="104" t="s">
        <v>186</v>
      </c>
      <c r="E102" s="105">
        <v>42660</v>
      </c>
      <c r="F102" s="145" t="s">
        <v>336</v>
      </c>
      <c r="G102" s="143">
        <v>4570</v>
      </c>
      <c r="H102" s="94"/>
      <c r="I102" s="94"/>
      <c r="J102" s="98"/>
      <c r="K102" s="118"/>
    </row>
    <row r="103" spans="1:11" ht="15.75" hidden="1" customHeight="1" x14ac:dyDescent="0.25">
      <c r="A103" s="93"/>
      <c r="B103" s="145" t="s">
        <v>335</v>
      </c>
      <c r="C103" s="100" t="s">
        <v>184</v>
      </c>
      <c r="D103" s="104" t="s">
        <v>186</v>
      </c>
      <c r="E103" s="105">
        <v>42660</v>
      </c>
      <c r="F103" s="145" t="s">
        <v>337</v>
      </c>
      <c r="G103" s="146">
        <v>4570</v>
      </c>
      <c r="H103" s="94"/>
      <c r="I103" s="94"/>
      <c r="J103" s="98"/>
      <c r="K103" s="118"/>
    </row>
    <row r="104" spans="1:11" ht="15" hidden="1" customHeight="1" x14ac:dyDescent="0.25">
      <c r="A104" s="129"/>
      <c r="B104" s="99" t="s">
        <v>332</v>
      </c>
      <c r="C104" s="100" t="s">
        <v>184</v>
      </c>
      <c r="D104" s="104" t="s">
        <v>186</v>
      </c>
      <c r="E104" s="105">
        <v>42843</v>
      </c>
      <c r="F104" s="145" t="s">
        <v>338</v>
      </c>
      <c r="G104" s="143">
        <v>3310</v>
      </c>
      <c r="H104" s="145"/>
      <c r="I104" s="145"/>
      <c r="J104" s="129"/>
      <c r="K104" s="165"/>
    </row>
    <row r="105" spans="1:11" ht="15.75" hidden="1" customHeight="1" x14ac:dyDescent="0.25">
      <c r="A105" s="93"/>
      <c r="B105" s="99" t="s">
        <v>339</v>
      </c>
      <c r="C105" s="100" t="s">
        <v>184</v>
      </c>
      <c r="D105" s="104" t="s">
        <v>186</v>
      </c>
      <c r="E105" s="105">
        <v>37637</v>
      </c>
      <c r="F105" s="145" t="s">
        <v>340</v>
      </c>
      <c r="G105" s="143">
        <v>730</v>
      </c>
      <c r="H105" s="94"/>
      <c r="I105" s="94"/>
      <c r="J105" s="98"/>
      <c r="K105" s="118"/>
    </row>
    <row r="106" spans="1:11" ht="15.75" hidden="1" customHeight="1" x14ac:dyDescent="0.25">
      <c r="A106" s="93"/>
      <c r="B106" s="145" t="s">
        <v>341</v>
      </c>
      <c r="C106" s="100" t="s">
        <v>184</v>
      </c>
      <c r="D106" s="104" t="s">
        <v>186</v>
      </c>
      <c r="E106" s="149">
        <v>43761</v>
      </c>
      <c r="F106" s="145" t="s">
        <v>342</v>
      </c>
      <c r="G106" s="143">
        <v>3200</v>
      </c>
      <c r="H106" s="94"/>
      <c r="I106" s="94"/>
      <c r="J106" s="98"/>
      <c r="K106" s="118"/>
    </row>
    <row r="107" spans="1:11" ht="15.75" hidden="1" customHeight="1" x14ac:dyDescent="0.25">
      <c r="A107" s="93"/>
      <c r="B107" s="145" t="s">
        <v>341</v>
      </c>
      <c r="C107" s="100" t="s">
        <v>184</v>
      </c>
      <c r="D107" s="104" t="s">
        <v>186</v>
      </c>
      <c r="E107" s="149">
        <v>43761</v>
      </c>
      <c r="F107" s="145" t="s">
        <v>343</v>
      </c>
      <c r="G107" s="143">
        <v>3200</v>
      </c>
      <c r="H107" s="94"/>
      <c r="I107" s="94"/>
      <c r="J107" s="98"/>
      <c r="K107" s="118"/>
    </row>
    <row r="108" spans="1:11" ht="15.75" hidden="1" customHeight="1" x14ac:dyDescent="0.25">
      <c r="A108" s="93"/>
      <c r="B108" s="145" t="s">
        <v>341</v>
      </c>
      <c r="C108" s="100" t="s">
        <v>184</v>
      </c>
      <c r="D108" s="104" t="s">
        <v>186</v>
      </c>
      <c r="E108" s="149">
        <v>43761</v>
      </c>
      <c r="F108" s="145" t="s">
        <v>344</v>
      </c>
      <c r="G108" s="143">
        <v>3200</v>
      </c>
      <c r="H108" s="94"/>
      <c r="I108" s="94"/>
      <c r="J108" s="98"/>
      <c r="K108" s="118"/>
    </row>
    <row r="109" spans="1:11" ht="15.75" hidden="1" customHeight="1" x14ac:dyDescent="0.25">
      <c r="A109" s="93"/>
      <c r="B109" s="145" t="s">
        <v>341</v>
      </c>
      <c r="C109" s="100" t="s">
        <v>184</v>
      </c>
      <c r="D109" s="104" t="s">
        <v>186</v>
      </c>
      <c r="E109" s="149">
        <v>43761</v>
      </c>
      <c r="F109" s="145" t="s">
        <v>345</v>
      </c>
      <c r="G109" s="143">
        <v>3200</v>
      </c>
      <c r="H109" s="94"/>
      <c r="I109" s="94"/>
      <c r="J109" s="98"/>
      <c r="K109" s="118"/>
    </row>
    <row r="110" spans="1:11" ht="15.75" hidden="1" customHeight="1" x14ac:dyDescent="0.25">
      <c r="A110" s="93"/>
      <c r="B110" s="145" t="s">
        <v>346</v>
      </c>
      <c r="C110" s="100" t="s">
        <v>184</v>
      </c>
      <c r="D110" s="104" t="s">
        <v>186</v>
      </c>
      <c r="E110" s="105">
        <v>37637</v>
      </c>
      <c r="F110" s="145" t="s">
        <v>347</v>
      </c>
      <c r="G110" s="143">
        <v>1295</v>
      </c>
      <c r="H110" s="94"/>
      <c r="I110" s="94"/>
      <c r="J110" s="98"/>
      <c r="K110" s="118"/>
    </row>
    <row r="111" spans="1:11" ht="15.75" hidden="1" customHeight="1" x14ac:dyDescent="0.25">
      <c r="A111" s="93"/>
      <c r="B111" s="99" t="s">
        <v>348</v>
      </c>
      <c r="C111" s="100" t="s">
        <v>184</v>
      </c>
      <c r="D111" s="104" t="s">
        <v>186</v>
      </c>
      <c r="E111" s="105">
        <v>40028</v>
      </c>
      <c r="F111" s="145" t="s">
        <v>349</v>
      </c>
      <c r="G111" s="143">
        <v>2621.5</v>
      </c>
      <c r="H111" s="94"/>
      <c r="I111" s="94"/>
      <c r="J111" s="98"/>
      <c r="K111" s="118"/>
    </row>
    <row r="112" spans="1:11" ht="15.75" hidden="1" customHeight="1" x14ac:dyDescent="0.25">
      <c r="A112" s="93"/>
      <c r="B112" s="99" t="s">
        <v>348</v>
      </c>
      <c r="C112" s="100" t="s">
        <v>184</v>
      </c>
      <c r="D112" s="104" t="s">
        <v>186</v>
      </c>
      <c r="E112" s="105">
        <v>40028</v>
      </c>
      <c r="F112" s="145" t="s">
        <v>350</v>
      </c>
      <c r="G112" s="143">
        <v>2621.5</v>
      </c>
      <c r="H112" s="94"/>
      <c r="I112" s="94"/>
      <c r="J112" s="98"/>
      <c r="K112" s="118"/>
    </row>
    <row r="113" spans="1:11" ht="15.75" hidden="1" customHeight="1" x14ac:dyDescent="0.25">
      <c r="A113" s="93"/>
      <c r="B113" s="99" t="s">
        <v>348</v>
      </c>
      <c r="C113" s="100" t="s">
        <v>184</v>
      </c>
      <c r="D113" s="104" t="s">
        <v>186</v>
      </c>
      <c r="E113" s="105">
        <v>40028</v>
      </c>
      <c r="F113" s="145" t="s">
        <v>351</v>
      </c>
      <c r="G113" s="143">
        <v>2621.5</v>
      </c>
      <c r="H113" s="94"/>
      <c r="I113" s="94"/>
      <c r="J113" s="98"/>
      <c r="K113" s="118"/>
    </row>
    <row r="114" spans="1:11" ht="15.75" hidden="1" customHeight="1" x14ac:dyDescent="0.25">
      <c r="A114" s="93"/>
      <c r="B114" s="99" t="s">
        <v>348</v>
      </c>
      <c r="C114" s="100" t="s">
        <v>184</v>
      </c>
      <c r="D114" s="104" t="s">
        <v>186</v>
      </c>
      <c r="E114" s="105">
        <v>40028</v>
      </c>
      <c r="F114" s="145" t="s">
        <v>352</v>
      </c>
      <c r="G114" s="143">
        <v>2621.5</v>
      </c>
      <c r="H114" s="94"/>
      <c r="I114" s="94"/>
      <c r="J114" s="98"/>
      <c r="K114" s="118"/>
    </row>
    <row r="115" spans="1:11" ht="15.75" hidden="1" customHeight="1" x14ac:dyDescent="0.25">
      <c r="A115" s="93"/>
      <c r="B115" s="99" t="s">
        <v>348</v>
      </c>
      <c r="C115" s="100" t="s">
        <v>184</v>
      </c>
      <c r="D115" s="104" t="s">
        <v>186</v>
      </c>
      <c r="E115" s="105">
        <v>40028</v>
      </c>
      <c r="F115" s="145" t="s">
        <v>353</v>
      </c>
      <c r="G115" s="143">
        <v>2621.5</v>
      </c>
      <c r="H115" s="94"/>
      <c r="I115" s="94"/>
      <c r="J115" s="98"/>
      <c r="K115" s="118"/>
    </row>
    <row r="116" spans="1:11" ht="15.75" hidden="1" customHeight="1" x14ac:dyDescent="0.25">
      <c r="A116" s="93"/>
      <c r="B116" s="99" t="s">
        <v>348</v>
      </c>
      <c r="C116" s="100" t="s">
        <v>184</v>
      </c>
      <c r="D116" s="104" t="s">
        <v>186</v>
      </c>
      <c r="E116" s="105">
        <v>40028</v>
      </c>
      <c r="F116" s="145" t="s">
        <v>354</v>
      </c>
      <c r="G116" s="143">
        <v>2621.5</v>
      </c>
      <c r="H116" s="94"/>
      <c r="I116" s="94"/>
      <c r="J116" s="98"/>
      <c r="K116" s="118"/>
    </row>
    <row r="117" spans="1:11" ht="15.75" hidden="1" customHeight="1" x14ac:dyDescent="0.25">
      <c r="A117" s="93"/>
      <c r="B117" s="99" t="s">
        <v>348</v>
      </c>
      <c r="C117" s="100" t="s">
        <v>184</v>
      </c>
      <c r="D117" s="104" t="s">
        <v>186</v>
      </c>
      <c r="E117" s="105">
        <v>40028</v>
      </c>
      <c r="F117" s="145" t="s">
        <v>355</v>
      </c>
      <c r="G117" s="143">
        <v>2621.5</v>
      </c>
      <c r="H117" s="94"/>
      <c r="I117" s="94"/>
      <c r="J117" s="98"/>
      <c r="K117" s="118"/>
    </row>
    <row r="118" spans="1:11" ht="15.75" hidden="1" customHeight="1" x14ac:dyDescent="0.25">
      <c r="A118" s="93"/>
      <c r="B118" s="99" t="s">
        <v>348</v>
      </c>
      <c r="C118" s="100" t="s">
        <v>184</v>
      </c>
      <c r="D118" s="104" t="s">
        <v>186</v>
      </c>
      <c r="E118" s="105">
        <v>40028</v>
      </c>
      <c r="F118" s="145" t="s">
        <v>356</v>
      </c>
      <c r="G118" s="143">
        <v>2621.5</v>
      </c>
      <c r="H118" s="94"/>
      <c r="I118" s="94"/>
      <c r="J118" s="98"/>
      <c r="K118" s="118"/>
    </row>
    <row r="119" spans="1:11" ht="15.75" hidden="1" customHeight="1" x14ac:dyDescent="0.25">
      <c r="A119" s="93"/>
      <c r="B119" s="99" t="s">
        <v>348</v>
      </c>
      <c r="C119" s="100" t="s">
        <v>184</v>
      </c>
      <c r="D119" s="104" t="s">
        <v>186</v>
      </c>
      <c r="E119" s="105">
        <v>40028</v>
      </c>
      <c r="F119" s="145" t="s">
        <v>357</v>
      </c>
      <c r="G119" s="143">
        <v>2621.5</v>
      </c>
      <c r="H119" s="94"/>
      <c r="I119" s="94"/>
      <c r="J119" s="98"/>
      <c r="K119" s="118"/>
    </row>
    <row r="120" spans="1:11" ht="15.75" hidden="1" customHeight="1" x14ac:dyDescent="0.25">
      <c r="A120" s="93"/>
      <c r="B120" s="99" t="s">
        <v>348</v>
      </c>
      <c r="C120" s="100" t="s">
        <v>184</v>
      </c>
      <c r="D120" s="104" t="s">
        <v>186</v>
      </c>
      <c r="E120" s="105">
        <v>40028</v>
      </c>
      <c r="F120" s="145" t="s">
        <v>358</v>
      </c>
      <c r="G120" s="143">
        <v>2621.5</v>
      </c>
      <c r="H120" s="94"/>
      <c r="I120" s="94"/>
      <c r="J120" s="98"/>
      <c r="K120" s="118"/>
    </row>
    <row r="121" spans="1:11" ht="15.75" hidden="1" customHeight="1" x14ac:dyDescent="0.25">
      <c r="A121" s="93"/>
      <c r="B121" s="94" t="s">
        <v>359</v>
      </c>
      <c r="C121" s="100" t="s">
        <v>184</v>
      </c>
      <c r="D121" s="104" t="s">
        <v>186</v>
      </c>
      <c r="E121" s="105">
        <v>40492</v>
      </c>
      <c r="F121" s="145" t="s">
        <v>360</v>
      </c>
      <c r="G121" s="143">
        <v>995</v>
      </c>
      <c r="H121" s="94"/>
      <c r="I121" s="94"/>
      <c r="J121" s="98"/>
      <c r="K121" s="118"/>
    </row>
    <row r="122" spans="1:11" ht="15.75" hidden="1" customHeight="1" x14ac:dyDescent="0.25">
      <c r="A122" s="93"/>
      <c r="B122" s="99" t="s">
        <v>361</v>
      </c>
      <c r="C122" s="100" t="s">
        <v>184</v>
      </c>
      <c r="D122" s="104" t="s">
        <v>186</v>
      </c>
      <c r="E122" s="105">
        <v>37637</v>
      </c>
      <c r="F122" s="145" t="s">
        <v>362</v>
      </c>
      <c r="G122" s="143">
        <v>1549</v>
      </c>
      <c r="H122" s="94"/>
      <c r="I122" s="94"/>
      <c r="J122" s="98"/>
      <c r="K122" s="118"/>
    </row>
    <row r="123" spans="1:11" ht="15.75" hidden="1" customHeight="1" x14ac:dyDescent="0.25">
      <c r="A123" s="93"/>
      <c r="B123" s="142" t="s">
        <v>363</v>
      </c>
      <c r="C123" s="100" t="s">
        <v>184</v>
      </c>
      <c r="D123" s="104" t="s">
        <v>186</v>
      </c>
      <c r="E123" s="105">
        <v>37741</v>
      </c>
      <c r="F123" s="142" t="s">
        <v>364</v>
      </c>
      <c r="G123" s="146">
        <v>1430</v>
      </c>
      <c r="H123" s="94"/>
      <c r="I123" s="94"/>
      <c r="J123" s="98"/>
      <c r="K123" s="118"/>
    </row>
    <row r="124" spans="1:11" ht="15.75" hidden="1" customHeight="1" x14ac:dyDescent="0.25">
      <c r="A124" s="93"/>
      <c r="B124" s="94" t="s">
        <v>365</v>
      </c>
      <c r="C124" s="100" t="s">
        <v>184</v>
      </c>
      <c r="D124" s="104" t="s">
        <v>186</v>
      </c>
      <c r="E124" s="105">
        <v>43755</v>
      </c>
      <c r="F124" s="145" t="s">
        <v>366</v>
      </c>
      <c r="G124" s="143">
        <v>6440</v>
      </c>
      <c r="H124" s="94"/>
      <c r="I124" s="94"/>
      <c r="J124" s="98"/>
      <c r="K124" s="118"/>
    </row>
    <row r="125" spans="1:11" ht="15.75" hidden="1" customHeight="1" x14ac:dyDescent="0.25">
      <c r="A125" s="93"/>
      <c r="B125" s="94" t="s">
        <v>367</v>
      </c>
      <c r="C125" s="100" t="s">
        <v>184</v>
      </c>
      <c r="D125" s="104" t="s">
        <v>186</v>
      </c>
      <c r="E125" s="105">
        <v>39994</v>
      </c>
      <c r="F125" s="145" t="s">
        <v>368</v>
      </c>
      <c r="G125" s="143">
        <v>1238</v>
      </c>
      <c r="H125" s="94"/>
      <c r="I125" s="94"/>
      <c r="J125" s="98"/>
      <c r="K125" s="118"/>
    </row>
    <row r="126" spans="1:11" ht="15.75" hidden="1" customHeight="1" x14ac:dyDescent="0.25">
      <c r="A126" s="93"/>
      <c r="B126" s="94" t="s">
        <v>367</v>
      </c>
      <c r="C126" s="100" t="s">
        <v>184</v>
      </c>
      <c r="D126" s="104" t="s">
        <v>186</v>
      </c>
      <c r="E126" s="105">
        <v>39989</v>
      </c>
      <c r="F126" s="145" t="s">
        <v>369</v>
      </c>
      <c r="G126" s="143">
        <v>1238</v>
      </c>
      <c r="H126" s="94"/>
      <c r="I126" s="94"/>
      <c r="J126" s="98"/>
      <c r="K126" s="118"/>
    </row>
    <row r="127" spans="1:11" ht="15.75" hidden="1" customHeight="1" x14ac:dyDescent="0.25">
      <c r="A127" s="93"/>
      <c r="B127" s="142" t="s">
        <v>367</v>
      </c>
      <c r="C127" s="100" t="s">
        <v>184</v>
      </c>
      <c r="D127" s="104" t="s">
        <v>186</v>
      </c>
      <c r="E127" s="105">
        <v>39989</v>
      </c>
      <c r="F127" s="142" t="s">
        <v>370</v>
      </c>
      <c r="G127" s="146">
        <v>1238</v>
      </c>
      <c r="H127" s="94"/>
      <c r="I127" s="94"/>
      <c r="J127" s="98"/>
      <c r="K127" s="118"/>
    </row>
    <row r="128" spans="1:11" ht="15.75" hidden="1" customHeight="1" x14ac:dyDescent="0.25">
      <c r="A128" s="93"/>
      <c r="B128" s="99" t="s">
        <v>371</v>
      </c>
      <c r="C128" s="100" t="s">
        <v>184</v>
      </c>
      <c r="D128" s="104" t="s">
        <v>186</v>
      </c>
      <c r="E128" s="105">
        <v>40326</v>
      </c>
      <c r="F128" s="145" t="s">
        <v>372</v>
      </c>
      <c r="G128" s="143">
        <v>789</v>
      </c>
      <c r="H128" s="94"/>
      <c r="I128" s="94"/>
      <c r="J128" s="98"/>
      <c r="K128" s="118"/>
    </row>
    <row r="129" spans="1:11" s="136" customFormat="1" ht="15.75" hidden="1" customHeight="1" x14ac:dyDescent="0.25">
      <c r="A129" s="108"/>
      <c r="B129" s="99" t="s">
        <v>373</v>
      </c>
      <c r="C129" s="100" t="s">
        <v>184</v>
      </c>
      <c r="D129" s="104" t="s">
        <v>186</v>
      </c>
      <c r="E129" s="105">
        <v>40142</v>
      </c>
      <c r="F129" s="145" t="s">
        <v>374</v>
      </c>
      <c r="G129" s="143">
        <v>1300</v>
      </c>
      <c r="H129" s="94"/>
      <c r="I129" s="94"/>
      <c r="J129" s="94"/>
      <c r="K129" s="116"/>
    </row>
    <row r="130" spans="1:11" ht="15.75" hidden="1" customHeight="1" x14ac:dyDescent="0.25">
      <c r="A130" s="93"/>
      <c r="B130" s="145" t="s">
        <v>375</v>
      </c>
      <c r="C130" s="100" t="s">
        <v>184</v>
      </c>
      <c r="D130" s="104" t="s">
        <v>186</v>
      </c>
      <c r="E130" s="105">
        <v>40225</v>
      </c>
      <c r="F130" s="145" t="s">
        <v>376</v>
      </c>
      <c r="G130" s="143">
        <v>7000</v>
      </c>
      <c r="H130" s="94"/>
      <c r="I130" s="94"/>
      <c r="J130" s="98"/>
      <c r="K130" s="118"/>
    </row>
    <row r="131" spans="1:11" ht="15.75" hidden="1" customHeight="1" x14ac:dyDescent="0.25">
      <c r="A131" s="93"/>
      <c r="B131" s="145" t="s">
        <v>377</v>
      </c>
      <c r="C131" s="100" t="s">
        <v>184</v>
      </c>
      <c r="D131" s="104" t="s">
        <v>186</v>
      </c>
      <c r="E131" s="105">
        <v>42768</v>
      </c>
      <c r="F131" s="145" t="s">
        <v>378</v>
      </c>
      <c r="G131" s="143">
        <v>8000</v>
      </c>
      <c r="H131" s="94"/>
      <c r="I131" s="94"/>
      <c r="J131" s="98"/>
      <c r="K131" s="118"/>
    </row>
    <row r="132" spans="1:11" s="136" customFormat="1" ht="15.75" hidden="1" customHeight="1" x14ac:dyDescent="0.25">
      <c r="A132" s="108"/>
      <c r="B132" s="99" t="s">
        <v>379</v>
      </c>
      <c r="C132" s="100" t="s">
        <v>184</v>
      </c>
      <c r="D132" s="104" t="s">
        <v>186</v>
      </c>
      <c r="E132" s="105" t="s">
        <v>380</v>
      </c>
      <c r="F132" s="145" t="s">
        <v>381</v>
      </c>
      <c r="G132" s="143">
        <v>14300</v>
      </c>
      <c r="H132" s="94"/>
      <c r="I132" s="94"/>
      <c r="J132" s="94"/>
      <c r="K132" s="116"/>
    </row>
    <row r="133" spans="1:11" ht="15.75" hidden="1" customHeight="1" x14ac:dyDescent="0.25">
      <c r="A133" s="93"/>
      <c r="B133" s="145" t="s">
        <v>377</v>
      </c>
      <c r="C133" s="100" t="s">
        <v>184</v>
      </c>
      <c r="D133" s="104" t="s">
        <v>186</v>
      </c>
      <c r="E133" s="105">
        <v>42768</v>
      </c>
      <c r="F133" s="145" t="s">
        <v>382</v>
      </c>
      <c r="G133" s="143">
        <v>8000</v>
      </c>
      <c r="H133" s="94"/>
      <c r="I133" s="94"/>
      <c r="J133" s="98"/>
      <c r="K133" s="118"/>
    </row>
    <row r="134" spans="1:11" ht="15" hidden="1" customHeight="1" x14ac:dyDescent="0.25">
      <c r="A134" s="129"/>
      <c r="B134" s="142" t="s">
        <v>383</v>
      </c>
      <c r="C134" s="100" t="s">
        <v>184</v>
      </c>
      <c r="D134" s="104" t="s">
        <v>186</v>
      </c>
      <c r="E134" s="105">
        <v>43039</v>
      </c>
      <c r="F134" s="142" t="s">
        <v>384</v>
      </c>
      <c r="G134" s="143">
        <v>4600</v>
      </c>
      <c r="H134" s="145"/>
      <c r="I134" s="145"/>
      <c r="J134" s="129"/>
      <c r="K134" s="165"/>
    </row>
    <row r="135" spans="1:11" ht="15.75" hidden="1" customHeight="1" x14ac:dyDescent="0.25">
      <c r="A135" s="93"/>
      <c r="B135" s="94" t="s">
        <v>385</v>
      </c>
      <c r="C135" s="100" t="s">
        <v>184</v>
      </c>
      <c r="D135" s="104" t="s">
        <v>186</v>
      </c>
      <c r="E135" s="105" t="s">
        <v>386</v>
      </c>
      <c r="F135" s="145" t="s">
        <v>387</v>
      </c>
      <c r="G135" s="143">
        <v>3225</v>
      </c>
      <c r="H135" s="94"/>
      <c r="I135" s="94"/>
      <c r="J135" s="98"/>
      <c r="K135" s="118"/>
    </row>
    <row r="136" spans="1:11" ht="15.75" hidden="1" customHeight="1" x14ac:dyDescent="0.25">
      <c r="A136" s="93"/>
      <c r="B136" s="99" t="s">
        <v>388</v>
      </c>
      <c r="C136" s="100" t="s">
        <v>184</v>
      </c>
      <c r="D136" s="104" t="s">
        <v>186</v>
      </c>
      <c r="E136" s="105">
        <v>39660</v>
      </c>
      <c r="F136" s="145" t="s">
        <v>389</v>
      </c>
      <c r="G136" s="143">
        <v>6025</v>
      </c>
      <c r="H136" s="94"/>
      <c r="I136" s="94"/>
      <c r="J136" s="98"/>
      <c r="K136" s="118"/>
    </row>
    <row r="137" spans="1:11" ht="15.75" hidden="1" customHeight="1" x14ac:dyDescent="0.25">
      <c r="A137" s="93"/>
      <c r="B137" s="145" t="s">
        <v>385</v>
      </c>
      <c r="C137" s="100" t="s">
        <v>184</v>
      </c>
      <c r="D137" s="104" t="s">
        <v>186</v>
      </c>
      <c r="E137" s="149">
        <v>40616</v>
      </c>
      <c r="F137" s="145" t="s">
        <v>390</v>
      </c>
      <c r="G137" s="143">
        <v>3000</v>
      </c>
      <c r="H137" s="94"/>
      <c r="I137" s="94"/>
      <c r="J137" s="98"/>
      <c r="K137" s="118"/>
    </row>
    <row r="138" spans="1:11" ht="15.75" hidden="1" customHeight="1" x14ac:dyDescent="0.25">
      <c r="A138" s="93"/>
      <c r="B138" s="94" t="s">
        <v>391</v>
      </c>
      <c r="C138" s="100" t="s">
        <v>184</v>
      </c>
      <c r="D138" s="104" t="s">
        <v>186</v>
      </c>
      <c r="E138" s="105">
        <v>42660</v>
      </c>
      <c r="F138" s="145" t="s">
        <v>392</v>
      </c>
      <c r="G138" s="143">
        <v>1275</v>
      </c>
      <c r="H138" s="94"/>
      <c r="I138" s="94"/>
      <c r="J138" s="98"/>
      <c r="K138" s="118"/>
    </row>
    <row r="139" spans="1:11" ht="15.75" hidden="1" customHeight="1" x14ac:dyDescent="0.25">
      <c r="A139" s="93"/>
      <c r="B139" s="94" t="s">
        <v>393</v>
      </c>
      <c r="C139" s="100" t="s">
        <v>184</v>
      </c>
      <c r="D139" s="104" t="s">
        <v>186</v>
      </c>
      <c r="E139" s="105">
        <v>43775</v>
      </c>
      <c r="F139" s="145" t="s">
        <v>394</v>
      </c>
      <c r="G139" s="143">
        <v>6450</v>
      </c>
      <c r="H139" s="94"/>
      <c r="I139" s="94"/>
      <c r="J139" s="98"/>
      <c r="K139" s="118"/>
    </row>
    <row r="140" spans="1:11" ht="15.75" hidden="1" customHeight="1" x14ac:dyDescent="0.25">
      <c r="A140" s="93"/>
      <c r="B140" s="94" t="s">
        <v>395</v>
      </c>
      <c r="C140" s="100" t="s">
        <v>184</v>
      </c>
      <c r="D140" s="104" t="s">
        <v>186</v>
      </c>
      <c r="E140" s="105">
        <v>39989</v>
      </c>
      <c r="F140" s="145" t="s">
        <v>396</v>
      </c>
      <c r="G140" s="143">
        <v>1575</v>
      </c>
      <c r="H140" s="94"/>
      <c r="I140" s="94"/>
      <c r="J140" s="98"/>
      <c r="K140" s="118"/>
    </row>
    <row r="141" spans="1:11" ht="15.75" hidden="1" customHeight="1" x14ac:dyDescent="0.25">
      <c r="A141" s="93"/>
      <c r="B141" s="145" t="s">
        <v>395</v>
      </c>
      <c r="C141" s="100" t="s">
        <v>184</v>
      </c>
      <c r="D141" s="104" t="s">
        <v>186</v>
      </c>
      <c r="E141" s="105">
        <v>39979</v>
      </c>
      <c r="F141" s="145" t="s">
        <v>397</v>
      </c>
      <c r="G141" s="143">
        <v>1575</v>
      </c>
      <c r="H141" s="94"/>
      <c r="I141" s="94"/>
      <c r="J141" s="98"/>
      <c r="K141" s="118"/>
    </row>
    <row r="142" spans="1:11" ht="15.75" hidden="1" customHeight="1" x14ac:dyDescent="0.25">
      <c r="A142" s="93"/>
      <c r="B142" s="145" t="s">
        <v>395</v>
      </c>
      <c r="C142" s="100" t="s">
        <v>184</v>
      </c>
      <c r="D142" s="104" t="s">
        <v>186</v>
      </c>
      <c r="E142" s="105">
        <v>38219</v>
      </c>
      <c r="F142" s="142" t="s">
        <v>398</v>
      </c>
      <c r="G142" s="157">
        <v>1250</v>
      </c>
      <c r="H142" s="94"/>
      <c r="I142" s="94"/>
      <c r="J142" s="98"/>
      <c r="K142" s="118"/>
    </row>
    <row r="143" spans="1:11" ht="15.75" hidden="1" customHeight="1" x14ac:dyDescent="0.25">
      <c r="A143" s="93"/>
      <c r="B143" s="99" t="s">
        <v>395</v>
      </c>
      <c r="C143" s="100" t="s">
        <v>184</v>
      </c>
      <c r="D143" s="104" t="s">
        <v>186</v>
      </c>
      <c r="E143" s="105">
        <v>42240</v>
      </c>
      <c r="F143" s="142" t="s">
        <v>399</v>
      </c>
      <c r="G143" s="146">
        <v>1715</v>
      </c>
      <c r="H143" s="94"/>
      <c r="I143" s="94"/>
      <c r="J143" s="98"/>
      <c r="K143" s="118"/>
    </row>
    <row r="144" spans="1:11" ht="15.75" hidden="1" customHeight="1" x14ac:dyDescent="0.25">
      <c r="A144" s="93"/>
      <c r="B144" s="99" t="s">
        <v>395</v>
      </c>
      <c r="C144" s="100" t="s">
        <v>184</v>
      </c>
      <c r="D144" s="104" t="s">
        <v>186</v>
      </c>
      <c r="E144" s="105">
        <v>38219</v>
      </c>
      <c r="F144" s="142" t="s">
        <v>400</v>
      </c>
      <c r="G144" s="158">
        <v>1250</v>
      </c>
      <c r="H144" s="94"/>
      <c r="I144" s="94"/>
      <c r="J144" s="98"/>
      <c r="K144" s="118"/>
    </row>
    <row r="145" spans="1:11" ht="15" hidden="1" customHeight="1" x14ac:dyDescent="0.25">
      <c r="A145" s="129"/>
      <c r="B145" s="94" t="s">
        <v>346</v>
      </c>
      <c r="C145" s="100" t="s">
        <v>184</v>
      </c>
      <c r="D145" s="104" t="s">
        <v>186</v>
      </c>
      <c r="E145" s="105">
        <v>39988</v>
      </c>
      <c r="F145" s="145" t="s">
        <v>401</v>
      </c>
      <c r="G145" s="141">
        <v>1851</v>
      </c>
      <c r="H145" s="145"/>
      <c r="I145" s="145"/>
      <c r="J145" s="129"/>
      <c r="K145" s="165"/>
    </row>
    <row r="146" spans="1:11" ht="15.75" hidden="1" customHeight="1" x14ac:dyDescent="0.25">
      <c r="A146" s="93"/>
      <c r="B146" s="99" t="s">
        <v>395</v>
      </c>
      <c r="C146" s="100" t="s">
        <v>184</v>
      </c>
      <c r="D146" s="104" t="s">
        <v>186</v>
      </c>
      <c r="E146" s="147">
        <v>42240</v>
      </c>
      <c r="F146" s="99" t="s">
        <v>402</v>
      </c>
      <c r="G146" s="159">
        <v>1575</v>
      </c>
      <c r="H146" s="94"/>
      <c r="I146" s="94"/>
      <c r="J146" s="98"/>
      <c r="K146" s="118"/>
    </row>
    <row r="147" spans="1:11" ht="15" hidden="1" customHeight="1" x14ac:dyDescent="0.25">
      <c r="A147" s="129"/>
      <c r="B147" s="99" t="s">
        <v>395</v>
      </c>
      <c r="C147" s="100" t="s">
        <v>184</v>
      </c>
      <c r="D147" s="104" t="s">
        <v>186</v>
      </c>
      <c r="E147" s="105">
        <v>42240</v>
      </c>
      <c r="F147" s="145" t="s">
        <v>403</v>
      </c>
      <c r="G147" s="141">
        <v>1715</v>
      </c>
      <c r="H147" s="145"/>
      <c r="I147" s="145"/>
      <c r="J147" s="129"/>
      <c r="K147" s="165"/>
    </row>
    <row r="148" spans="1:11" ht="15.75" hidden="1" customHeight="1" x14ac:dyDescent="0.25">
      <c r="A148" s="93"/>
      <c r="B148" s="142" t="s">
        <v>395</v>
      </c>
      <c r="C148" s="100" t="s">
        <v>184</v>
      </c>
      <c r="D148" s="104" t="s">
        <v>186</v>
      </c>
      <c r="E148" s="105">
        <v>37637</v>
      </c>
      <c r="F148" s="145" t="s">
        <v>404</v>
      </c>
      <c r="G148" s="146">
        <v>1715</v>
      </c>
      <c r="H148" s="94"/>
      <c r="I148" s="94"/>
      <c r="J148" s="98"/>
      <c r="K148" s="118"/>
    </row>
    <row r="149" spans="1:11" ht="15.75" hidden="1" customHeight="1" x14ac:dyDescent="0.25">
      <c r="A149" s="93"/>
      <c r="B149" s="142" t="s">
        <v>395</v>
      </c>
      <c r="C149" s="100" t="s">
        <v>184</v>
      </c>
      <c r="D149" s="104" t="s">
        <v>186</v>
      </c>
      <c r="E149" s="105">
        <v>42240</v>
      </c>
      <c r="F149" s="145" t="s">
        <v>405</v>
      </c>
      <c r="G149" s="141">
        <v>1715</v>
      </c>
      <c r="H149" s="94"/>
      <c r="I149" s="94"/>
      <c r="J149" s="98"/>
      <c r="K149" s="118"/>
    </row>
    <row r="150" spans="1:11" ht="15.75" hidden="1" customHeight="1" x14ac:dyDescent="0.25">
      <c r="A150" s="93"/>
      <c r="B150" s="142" t="s">
        <v>395</v>
      </c>
      <c r="C150" s="100" t="s">
        <v>184</v>
      </c>
      <c r="D150" s="104" t="s">
        <v>186</v>
      </c>
      <c r="E150" s="105">
        <v>42240</v>
      </c>
      <c r="F150" s="145" t="s">
        <v>406</v>
      </c>
      <c r="G150" s="143">
        <v>1715</v>
      </c>
      <c r="H150" s="94"/>
      <c r="I150" s="94"/>
      <c r="J150" s="98"/>
      <c r="K150" s="118"/>
    </row>
    <row r="151" spans="1:11" ht="15.75" hidden="1" customHeight="1" x14ac:dyDescent="0.25">
      <c r="A151" s="93"/>
      <c r="B151" s="94" t="s">
        <v>395</v>
      </c>
      <c r="C151" s="100" t="s">
        <v>184</v>
      </c>
      <c r="D151" s="104" t="s">
        <v>186</v>
      </c>
      <c r="E151" s="149">
        <v>39994</v>
      </c>
      <c r="F151" s="145" t="s">
        <v>407</v>
      </c>
      <c r="G151" s="143">
        <v>1575</v>
      </c>
      <c r="H151" s="94"/>
      <c r="I151" s="94"/>
      <c r="J151" s="98"/>
      <c r="K151" s="118"/>
    </row>
    <row r="152" spans="1:11" ht="15.75" hidden="1" customHeight="1" x14ac:dyDescent="0.25">
      <c r="A152" s="93"/>
      <c r="B152" s="142" t="s">
        <v>395</v>
      </c>
      <c r="C152" s="100" t="s">
        <v>184</v>
      </c>
      <c r="D152" s="104" t="s">
        <v>186</v>
      </c>
      <c r="E152" s="105">
        <v>39994</v>
      </c>
      <c r="F152" s="145" t="s">
        <v>408</v>
      </c>
      <c r="G152" s="143">
        <v>1575</v>
      </c>
      <c r="H152" s="94"/>
      <c r="I152" s="94"/>
      <c r="J152" s="98"/>
      <c r="K152" s="118"/>
    </row>
    <row r="153" spans="1:11" ht="15" hidden="1" customHeight="1" x14ac:dyDescent="0.25">
      <c r="A153" s="129"/>
      <c r="B153" s="142" t="s">
        <v>395</v>
      </c>
      <c r="C153" s="100" t="s">
        <v>184</v>
      </c>
      <c r="D153" s="104" t="s">
        <v>186</v>
      </c>
      <c r="E153" s="105">
        <v>39994</v>
      </c>
      <c r="F153" s="145" t="s">
        <v>409</v>
      </c>
      <c r="G153" s="141">
        <v>1575</v>
      </c>
      <c r="H153" s="145"/>
      <c r="I153" s="145"/>
      <c r="J153" s="129"/>
      <c r="K153" s="165"/>
    </row>
    <row r="154" spans="1:11" ht="15.75" hidden="1" customHeight="1" x14ac:dyDescent="0.25">
      <c r="A154" s="93"/>
      <c r="B154" s="99" t="s">
        <v>395</v>
      </c>
      <c r="C154" s="100" t="s">
        <v>184</v>
      </c>
      <c r="D154" s="104" t="s">
        <v>186</v>
      </c>
      <c r="E154" s="105">
        <v>42240</v>
      </c>
      <c r="F154" s="142" t="s">
        <v>410</v>
      </c>
      <c r="G154" s="146">
        <v>1575</v>
      </c>
      <c r="H154" s="94"/>
      <c r="I154" s="94"/>
      <c r="J154" s="98"/>
      <c r="K154" s="118"/>
    </row>
    <row r="155" spans="1:11" ht="15" hidden="1" customHeight="1" x14ac:dyDescent="0.25">
      <c r="A155" s="129"/>
      <c r="B155" s="99" t="s">
        <v>395</v>
      </c>
      <c r="C155" s="100" t="s">
        <v>184</v>
      </c>
      <c r="D155" s="104" t="s">
        <v>186</v>
      </c>
      <c r="E155" s="105">
        <v>39989</v>
      </c>
      <c r="F155" s="145" t="s">
        <v>411</v>
      </c>
      <c r="G155" s="141">
        <v>1575</v>
      </c>
      <c r="H155" s="145"/>
      <c r="I155" s="145"/>
      <c r="J155" s="129"/>
      <c r="K155" s="165"/>
    </row>
    <row r="156" spans="1:11" ht="15.75" hidden="1" customHeight="1" x14ac:dyDescent="0.25">
      <c r="A156" s="93"/>
      <c r="B156" s="94" t="s">
        <v>395</v>
      </c>
      <c r="C156" s="100" t="s">
        <v>184</v>
      </c>
      <c r="D156" s="104" t="s">
        <v>186</v>
      </c>
      <c r="E156" s="105">
        <v>39989</v>
      </c>
      <c r="F156" s="145" t="s">
        <v>412</v>
      </c>
      <c r="G156" s="143">
        <v>1575</v>
      </c>
      <c r="H156" s="94"/>
      <c r="I156" s="94"/>
      <c r="J156" s="98"/>
      <c r="K156" s="118"/>
    </row>
    <row r="157" spans="1:11" ht="15.75" hidden="1" customHeight="1" x14ac:dyDescent="0.25">
      <c r="A157" s="93"/>
      <c r="B157" s="99" t="s">
        <v>395</v>
      </c>
      <c r="C157" s="100" t="s">
        <v>184</v>
      </c>
      <c r="D157" s="104" t="s">
        <v>186</v>
      </c>
      <c r="E157" s="105">
        <v>39989</v>
      </c>
      <c r="F157" s="145" t="s">
        <v>413</v>
      </c>
      <c r="G157" s="143">
        <v>1575</v>
      </c>
      <c r="H157" s="94"/>
      <c r="I157" s="94"/>
      <c r="J157" s="98"/>
      <c r="K157" s="118"/>
    </row>
    <row r="158" spans="1:11" ht="15" hidden="1" customHeight="1" x14ac:dyDescent="0.25">
      <c r="A158" s="129"/>
      <c r="B158" s="99" t="s">
        <v>395</v>
      </c>
      <c r="C158" s="100" t="s">
        <v>184</v>
      </c>
      <c r="D158" s="104" t="s">
        <v>186</v>
      </c>
      <c r="E158" s="105">
        <v>40200</v>
      </c>
      <c r="F158" s="145" t="s">
        <v>414</v>
      </c>
      <c r="G158" s="141">
        <v>1575</v>
      </c>
      <c r="H158" s="145"/>
      <c r="I158" s="145"/>
      <c r="J158" s="129"/>
      <c r="K158" s="165"/>
    </row>
    <row r="159" spans="1:11" ht="15" hidden="1" customHeight="1" x14ac:dyDescent="0.25">
      <c r="A159" s="129"/>
      <c r="B159" s="99" t="s">
        <v>395</v>
      </c>
      <c r="C159" s="100" t="s">
        <v>184</v>
      </c>
      <c r="D159" s="104" t="s">
        <v>186</v>
      </c>
      <c r="E159" s="105">
        <v>40200</v>
      </c>
      <c r="F159" s="145" t="s">
        <v>415</v>
      </c>
      <c r="G159" s="141">
        <v>1575</v>
      </c>
      <c r="H159" s="145"/>
      <c r="I159" s="145"/>
      <c r="J159" s="129"/>
      <c r="K159" s="165"/>
    </row>
    <row r="160" spans="1:11" ht="15" hidden="1" customHeight="1" x14ac:dyDescent="0.25">
      <c r="A160" s="129"/>
      <c r="B160" s="99" t="s">
        <v>395</v>
      </c>
      <c r="C160" s="100" t="s">
        <v>184</v>
      </c>
      <c r="D160" s="104" t="s">
        <v>186</v>
      </c>
      <c r="E160" s="105">
        <v>40200</v>
      </c>
      <c r="F160" s="145" t="s">
        <v>416</v>
      </c>
      <c r="G160" s="141">
        <v>1575</v>
      </c>
      <c r="H160" s="145"/>
      <c r="I160" s="145"/>
      <c r="J160" s="129"/>
      <c r="K160" s="165"/>
    </row>
    <row r="161" spans="1:11" ht="15.75" hidden="1" customHeight="1" x14ac:dyDescent="0.25">
      <c r="A161" s="93"/>
      <c r="B161" s="99" t="s">
        <v>395</v>
      </c>
      <c r="C161" s="100" t="s">
        <v>184</v>
      </c>
      <c r="D161" s="104" t="s">
        <v>186</v>
      </c>
      <c r="E161" s="147">
        <v>40200</v>
      </c>
      <c r="F161" s="99" t="s">
        <v>417</v>
      </c>
      <c r="G161" s="159">
        <v>1575</v>
      </c>
      <c r="H161" s="94"/>
      <c r="I161" s="94"/>
      <c r="J161" s="98"/>
      <c r="K161" s="118"/>
    </row>
    <row r="162" spans="1:11" ht="15.75" hidden="1" customHeight="1" x14ac:dyDescent="0.25">
      <c r="A162" s="93"/>
      <c r="B162" s="145" t="s">
        <v>418</v>
      </c>
      <c r="C162" s="100" t="s">
        <v>184</v>
      </c>
      <c r="D162" s="104" t="s">
        <v>186</v>
      </c>
      <c r="E162" s="105">
        <v>41299</v>
      </c>
      <c r="F162" s="145" t="s">
        <v>419</v>
      </c>
      <c r="G162" s="143">
        <v>2850</v>
      </c>
      <c r="H162" s="94"/>
      <c r="I162" s="94"/>
      <c r="J162" s="98"/>
      <c r="K162" s="118"/>
    </row>
    <row r="163" spans="1:11" ht="15.75" hidden="1" customHeight="1" x14ac:dyDescent="0.25">
      <c r="A163" s="93"/>
      <c r="B163" s="145" t="s">
        <v>418</v>
      </c>
      <c r="C163" s="100" t="s">
        <v>184</v>
      </c>
      <c r="D163" s="104" t="s">
        <v>186</v>
      </c>
      <c r="E163" s="105">
        <v>41299</v>
      </c>
      <c r="F163" s="145" t="s">
        <v>420</v>
      </c>
      <c r="G163" s="143">
        <v>2850</v>
      </c>
      <c r="H163" s="94"/>
      <c r="I163" s="94"/>
      <c r="J163" s="98"/>
      <c r="K163" s="118"/>
    </row>
    <row r="164" spans="1:11" ht="15.75" hidden="1" customHeight="1" x14ac:dyDescent="0.25">
      <c r="A164" s="93"/>
      <c r="B164" s="94" t="s">
        <v>395</v>
      </c>
      <c r="C164" s="100" t="s">
        <v>184</v>
      </c>
      <c r="D164" s="104" t="s">
        <v>186</v>
      </c>
      <c r="E164" s="147">
        <v>39979</v>
      </c>
      <c r="F164" s="142" t="s">
        <v>421</v>
      </c>
      <c r="G164" s="159">
        <v>1575</v>
      </c>
      <c r="H164" s="94"/>
      <c r="I164" s="94"/>
      <c r="J164" s="98"/>
      <c r="K164" s="118"/>
    </row>
    <row r="165" spans="1:11" ht="15.75" hidden="1" customHeight="1" x14ac:dyDescent="0.25">
      <c r="A165" s="93"/>
      <c r="B165" s="94" t="s">
        <v>395</v>
      </c>
      <c r="C165" s="100" t="s">
        <v>184</v>
      </c>
      <c r="D165" s="104" t="s">
        <v>186</v>
      </c>
      <c r="E165" s="105">
        <v>39979</v>
      </c>
      <c r="F165" s="145" t="s">
        <v>422</v>
      </c>
      <c r="G165" s="143">
        <v>1575</v>
      </c>
      <c r="H165" s="94"/>
      <c r="I165" s="94"/>
      <c r="J165" s="98"/>
      <c r="K165" s="118"/>
    </row>
    <row r="166" spans="1:11" ht="15.75" hidden="1" customHeight="1" x14ac:dyDescent="0.25">
      <c r="A166" s="93"/>
      <c r="B166" s="94" t="s">
        <v>395</v>
      </c>
      <c r="C166" s="100" t="s">
        <v>184</v>
      </c>
      <c r="D166" s="104" t="s">
        <v>186</v>
      </c>
      <c r="E166" s="105">
        <v>39979</v>
      </c>
      <c r="F166" s="145" t="s">
        <v>423</v>
      </c>
      <c r="G166" s="143">
        <v>1575</v>
      </c>
      <c r="H166" s="94"/>
      <c r="I166" s="94"/>
      <c r="J166" s="98"/>
      <c r="K166" s="118"/>
    </row>
    <row r="167" spans="1:11" ht="15.75" hidden="1" customHeight="1" x14ac:dyDescent="0.25">
      <c r="A167" s="93"/>
      <c r="B167" s="145" t="s">
        <v>395</v>
      </c>
      <c r="C167" s="100" t="s">
        <v>184</v>
      </c>
      <c r="D167" s="104" t="s">
        <v>186</v>
      </c>
      <c r="E167" s="105">
        <v>37637</v>
      </c>
      <c r="F167" s="145" t="s">
        <v>424</v>
      </c>
      <c r="G167" s="143">
        <v>1635</v>
      </c>
      <c r="H167" s="94"/>
      <c r="I167" s="94"/>
      <c r="J167" s="98"/>
      <c r="K167" s="118"/>
    </row>
    <row r="168" spans="1:11" ht="15" hidden="1" customHeight="1" x14ac:dyDescent="0.25">
      <c r="A168" s="129"/>
      <c r="B168" s="145" t="s">
        <v>395</v>
      </c>
      <c r="C168" s="100" t="s">
        <v>184</v>
      </c>
      <c r="D168" s="104" t="s">
        <v>186</v>
      </c>
      <c r="E168" s="105">
        <v>37637</v>
      </c>
      <c r="F168" s="145" t="s">
        <v>425</v>
      </c>
      <c r="G168" s="143">
        <v>1635</v>
      </c>
      <c r="H168" s="145"/>
      <c r="I168" s="145"/>
      <c r="J168" s="129"/>
      <c r="K168" s="165"/>
    </row>
    <row r="169" spans="1:11" ht="15" hidden="1" customHeight="1" x14ac:dyDescent="0.25">
      <c r="A169" s="129"/>
      <c r="B169" s="145" t="s">
        <v>395</v>
      </c>
      <c r="C169" s="100" t="s">
        <v>184</v>
      </c>
      <c r="D169" s="104" t="s">
        <v>186</v>
      </c>
      <c r="E169" s="105">
        <v>37637</v>
      </c>
      <c r="F169" s="145" t="s">
        <v>426</v>
      </c>
      <c r="G169" s="143">
        <v>1635</v>
      </c>
      <c r="H169" s="145"/>
      <c r="I169" s="145"/>
      <c r="J169" s="129"/>
      <c r="K169" s="165"/>
    </row>
    <row r="170" spans="1:11" ht="15.75" hidden="1" customHeight="1" x14ac:dyDescent="0.25">
      <c r="A170" s="93"/>
      <c r="B170" s="145" t="s">
        <v>395</v>
      </c>
      <c r="C170" s="100" t="s">
        <v>184</v>
      </c>
      <c r="D170" s="104" t="s">
        <v>186</v>
      </c>
      <c r="E170" s="105">
        <v>37637</v>
      </c>
      <c r="F170" s="145" t="s">
        <v>427</v>
      </c>
      <c r="G170" s="143">
        <v>1635</v>
      </c>
      <c r="H170" s="94"/>
      <c r="I170" s="94"/>
      <c r="J170" s="98"/>
      <c r="K170" s="118"/>
    </row>
    <row r="171" spans="1:11" ht="15" hidden="1" customHeight="1" x14ac:dyDescent="0.25">
      <c r="A171" s="129"/>
      <c r="B171" s="145" t="s">
        <v>428</v>
      </c>
      <c r="C171" s="100" t="s">
        <v>184</v>
      </c>
      <c r="D171" s="104" t="s">
        <v>186</v>
      </c>
      <c r="E171" s="105" t="s">
        <v>429</v>
      </c>
      <c r="F171" s="145" t="s">
        <v>430</v>
      </c>
      <c r="G171" s="160">
        <v>4000</v>
      </c>
      <c r="H171" s="145"/>
      <c r="I171" s="145"/>
      <c r="J171" s="129"/>
      <c r="K171" s="165"/>
    </row>
    <row r="172" spans="1:11" ht="15" hidden="1" customHeight="1" x14ac:dyDescent="0.25">
      <c r="A172" s="129"/>
      <c r="B172" s="142" t="s">
        <v>428</v>
      </c>
      <c r="C172" s="100" t="s">
        <v>184</v>
      </c>
      <c r="D172" s="104" t="s">
        <v>186</v>
      </c>
      <c r="E172" s="105">
        <v>42240</v>
      </c>
      <c r="F172" s="145" t="s">
        <v>431</v>
      </c>
      <c r="G172" s="141">
        <v>4000</v>
      </c>
      <c r="H172" s="145"/>
      <c r="I172" s="145"/>
      <c r="J172" s="129"/>
      <c r="K172" s="165"/>
    </row>
    <row r="173" spans="1:11" ht="15" hidden="1" customHeight="1" x14ac:dyDescent="0.25">
      <c r="A173" s="129"/>
      <c r="B173" s="99" t="s">
        <v>432</v>
      </c>
      <c r="C173" s="100" t="s">
        <v>184</v>
      </c>
      <c r="D173" s="104" t="s">
        <v>186</v>
      </c>
      <c r="E173" s="105">
        <v>39989</v>
      </c>
      <c r="F173" s="145" t="s">
        <v>433</v>
      </c>
      <c r="G173" s="141">
        <v>3450</v>
      </c>
      <c r="H173" s="145"/>
      <c r="I173" s="145"/>
      <c r="J173" s="129"/>
      <c r="K173" s="165"/>
    </row>
    <row r="174" spans="1:11" ht="15" hidden="1" customHeight="1" x14ac:dyDescent="0.25">
      <c r="A174" s="129"/>
      <c r="B174" s="142" t="s">
        <v>434</v>
      </c>
      <c r="C174" s="100" t="s">
        <v>184</v>
      </c>
      <c r="D174" s="104" t="s">
        <v>186</v>
      </c>
      <c r="E174" s="105">
        <v>40603</v>
      </c>
      <c r="F174" s="142" t="s">
        <v>435</v>
      </c>
      <c r="G174" s="161">
        <v>855</v>
      </c>
      <c r="H174" s="145"/>
      <c r="I174" s="145"/>
      <c r="J174" s="129"/>
      <c r="K174" s="165"/>
    </row>
    <row r="175" spans="1:11" ht="15" hidden="1" customHeight="1" x14ac:dyDescent="0.25">
      <c r="A175" s="129"/>
      <c r="B175" s="145" t="s">
        <v>436</v>
      </c>
      <c r="C175" s="100" t="s">
        <v>184</v>
      </c>
      <c r="D175" s="104" t="s">
        <v>186</v>
      </c>
      <c r="E175" s="105">
        <v>41089</v>
      </c>
      <c r="F175" s="145" t="s">
        <v>437</v>
      </c>
      <c r="G175" s="148">
        <v>3075</v>
      </c>
      <c r="H175" s="145"/>
      <c r="I175" s="145"/>
      <c r="J175" s="129"/>
      <c r="K175" s="165"/>
    </row>
    <row r="176" spans="1:11" ht="15" hidden="1" customHeight="1" x14ac:dyDescent="0.25">
      <c r="A176" s="129"/>
      <c r="B176" s="99" t="s">
        <v>432</v>
      </c>
      <c r="C176" s="100" t="s">
        <v>184</v>
      </c>
      <c r="D176" s="104" t="s">
        <v>186</v>
      </c>
      <c r="E176" s="105">
        <v>41458</v>
      </c>
      <c r="F176" s="145" t="s">
        <v>438</v>
      </c>
      <c r="G176" s="148">
        <v>4770</v>
      </c>
      <c r="H176" s="145"/>
      <c r="I176" s="145"/>
      <c r="J176" s="129"/>
      <c r="K176" s="165"/>
    </row>
    <row r="177" spans="1:11" ht="15" hidden="1" customHeight="1" x14ac:dyDescent="0.25">
      <c r="A177" s="129"/>
      <c r="B177" s="99" t="s">
        <v>432</v>
      </c>
      <c r="C177" s="100" t="s">
        <v>184</v>
      </c>
      <c r="D177" s="104" t="s">
        <v>186</v>
      </c>
      <c r="E177" s="105">
        <v>41830</v>
      </c>
      <c r="F177" s="145" t="s">
        <v>439</v>
      </c>
      <c r="G177" s="158">
        <v>3860</v>
      </c>
      <c r="H177" s="145"/>
      <c r="I177" s="145"/>
      <c r="J177" s="129"/>
      <c r="K177" s="165"/>
    </row>
    <row r="178" spans="1:11" ht="15" hidden="1" customHeight="1" x14ac:dyDescent="0.25">
      <c r="A178" s="129"/>
      <c r="B178" s="145" t="s">
        <v>440</v>
      </c>
      <c r="C178" s="100" t="s">
        <v>184</v>
      </c>
      <c r="D178" s="104" t="s">
        <v>186</v>
      </c>
      <c r="E178" s="105">
        <v>42137</v>
      </c>
      <c r="F178" s="145" t="s">
        <v>441</v>
      </c>
      <c r="G178" s="141">
        <v>2982</v>
      </c>
      <c r="H178" s="145"/>
      <c r="I178" s="145"/>
      <c r="J178" s="129"/>
      <c r="K178" s="165"/>
    </row>
    <row r="179" spans="1:11" ht="15" hidden="1" customHeight="1" x14ac:dyDescent="0.25">
      <c r="A179" s="129"/>
      <c r="B179" s="99" t="s">
        <v>434</v>
      </c>
      <c r="C179" s="100" t="s">
        <v>184</v>
      </c>
      <c r="D179" s="104" t="s">
        <v>186</v>
      </c>
      <c r="E179" s="105">
        <v>42137</v>
      </c>
      <c r="F179" s="145" t="s">
        <v>442</v>
      </c>
      <c r="G179" s="141">
        <v>2982</v>
      </c>
      <c r="H179" s="145"/>
      <c r="I179" s="145"/>
      <c r="J179" s="129"/>
      <c r="K179" s="165"/>
    </row>
    <row r="180" spans="1:11" ht="15" hidden="1" customHeight="1" x14ac:dyDescent="0.25">
      <c r="A180" s="129"/>
      <c r="B180" s="142" t="s">
        <v>440</v>
      </c>
      <c r="C180" s="100" t="s">
        <v>184</v>
      </c>
      <c r="D180" s="104" t="s">
        <v>186</v>
      </c>
      <c r="E180" s="105">
        <v>42137</v>
      </c>
      <c r="F180" s="142" t="s">
        <v>443</v>
      </c>
      <c r="G180" s="158">
        <v>2982</v>
      </c>
      <c r="H180" s="145"/>
      <c r="I180" s="145"/>
      <c r="J180" s="129"/>
      <c r="K180" s="165"/>
    </row>
    <row r="181" spans="1:11" ht="15" hidden="1" customHeight="1" x14ac:dyDescent="0.25">
      <c r="A181" s="129"/>
      <c r="B181" s="145" t="s">
        <v>444</v>
      </c>
      <c r="C181" s="100" t="s">
        <v>184</v>
      </c>
      <c r="D181" s="104" t="s">
        <v>186</v>
      </c>
      <c r="E181" s="105">
        <v>42137</v>
      </c>
      <c r="F181" s="145" t="s">
        <v>445</v>
      </c>
      <c r="G181" s="141">
        <v>7720</v>
      </c>
      <c r="H181" s="145"/>
      <c r="I181" s="145"/>
      <c r="J181" s="129"/>
      <c r="K181" s="165"/>
    </row>
    <row r="182" spans="1:11" ht="15" hidden="1" customHeight="1" x14ac:dyDescent="0.25">
      <c r="A182" s="129"/>
      <c r="B182" s="145" t="s">
        <v>434</v>
      </c>
      <c r="C182" s="100" t="s">
        <v>184</v>
      </c>
      <c r="D182" s="104" t="s">
        <v>186</v>
      </c>
      <c r="E182" s="105">
        <v>42240</v>
      </c>
      <c r="F182" s="145" t="s">
        <v>446</v>
      </c>
      <c r="G182" s="141">
        <v>2983</v>
      </c>
      <c r="H182" s="145"/>
      <c r="I182" s="145"/>
      <c r="J182" s="129"/>
      <c r="K182" s="165"/>
    </row>
    <row r="183" spans="1:11" ht="15" hidden="1" customHeight="1" x14ac:dyDescent="0.25">
      <c r="A183" s="129"/>
      <c r="B183" s="94" t="s">
        <v>447</v>
      </c>
      <c r="C183" s="100" t="s">
        <v>184</v>
      </c>
      <c r="D183" s="104" t="s">
        <v>186</v>
      </c>
      <c r="E183" s="105">
        <v>42240</v>
      </c>
      <c r="F183" s="145" t="s">
        <v>448</v>
      </c>
      <c r="G183" s="141">
        <v>2983</v>
      </c>
      <c r="H183" s="145"/>
      <c r="I183" s="145"/>
      <c r="J183" s="129"/>
      <c r="K183" s="165"/>
    </row>
    <row r="184" spans="1:11" ht="15" hidden="1" customHeight="1" x14ac:dyDescent="0.25">
      <c r="A184" s="129"/>
      <c r="B184" s="142" t="s">
        <v>440</v>
      </c>
      <c r="C184" s="100" t="s">
        <v>184</v>
      </c>
      <c r="D184" s="104" t="s">
        <v>186</v>
      </c>
      <c r="E184" s="105">
        <v>42240</v>
      </c>
      <c r="F184" s="142" t="s">
        <v>449</v>
      </c>
      <c r="G184" s="158">
        <v>2983</v>
      </c>
      <c r="H184" s="145"/>
      <c r="I184" s="145"/>
      <c r="J184" s="129"/>
      <c r="K184" s="165"/>
    </row>
    <row r="185" spans="1:11" ht="15" hidden="1" customHeight="1" x14ac:dyDescent="0.25">
      <c r="A185" s="129"/>
      <c r="B185" s="94" t="s">
        <v>440</v>
      </c>
      <c r="C185" s="100" t="s">
        <v>184</v>
      </c>
      <c r="D185" s="104" t="s">
        <v>186</v>
      </c>
      <c r="E185" s="105">
        <v>42240</v>
      </c>
      <c r="F185" s="142" t="s">
        <v>450</v>
      </c>
      <c r="G185" s="158">
        <v>2983</v>
      </c>
      <c r="H185" s="145"/>
      <c r="I185" s="145"/>
      <c r="J185" s="129"/>
      <c r="K185" s="165"/>
    </row>
    <row r="186" spans="1:11" ht="15" hidden="1" customHeight="1" x14ac:dyDescent="0.25">
      <c r="A186" s="129"/>
      <c r="B186" s="99" t="s">
        <v>451</v>
      </c>
      <c r="C186" s="100" t="s">
        <v>184</v>
      </c>
      <c r="D186" s="104" t="s">
        <v>186</v>
      </c>
      <c r="E186" s="105">
        <v>37529</v>
      </c>
      <c r="F186" s="142" t="s">
        <v>452</v>
      </c>
      <c r="G186" s="157">
        <v>3146</v>
      </c>
      <c r="H186" s="145"/>
      <c r="I186" s="145"/>
      <c r="J186" s="129"/>
      <c r="K186" s="165"/>
    </row>
    <row r="187" spans="1:11" ht="15" hidden="1" customHeight="1" x14ac:dyDescent="0.25">
      <c r="A187" s="129"/>
      <c r="B187" s="145" t="s">
        <v>453</v>
      </c>
      <c r="C187" s="100" t="s">
        <v>184</v>
      </c>
      <c r="D187" s="104" t="s">
        <v>186</v>
      </c>
      <c r="E187" s="105">
        <v>42725</v>
      </c>
      <c r="F187" s="145" t="s">
        <v>454</v>
      </c>
      <c r="G187" s="158">
        <v>4500</v>
      </c>
      <c r="H187" s="145"/>
      <c r="I187" s="145"/>
      <c r="J187" s="129"/>
      <c r="K187" s="165"/>
    </row>
    <row r="188" spans="1:11" ht="15" hidden="1" customHeight="1" x14ac:dyDescent="0.25">
      <c r="A188" s="129"/>
      <c r="B188" s="145" t="s">
        <v>434</v>
      </c>
      <c r="C188" s="100" t="s">
        <v>184</v>
      </c>
      <c r="D188" s="104" t="s">
        <v>186</v>
      </c>
      <c r="E188" s="105">
        <v>42725</v>
      </c>
      <c r="F188" s="145" t="s">
        <v>455</v>
      </c>
      <c r="G188" s="158">
        <v>2940</v>
      </c>
      <c r="H188" s="145"/>
      <c r="I188" s="145"/>
      <c r="J188" s="129"/>
      <c r="K188" s="165"/>
    </row>
    <row r="189" spans="1:11" ht="15" hidden="1" customHeight="1" x14ac:dyDescent="0.25">
      <c r="A189" s="129"/>
      <c r="B189" s="99" t="s">
        <v>434</v>
      </c>
      <c r="C189" s="100" t="s">
        <v>184</v>
      </c>
      <c r="D189" s="104" t="s">
        <v>186</v>
      </c>
      <c r="E189" s="105">
        <v>42843</v>
      </c>
      <c r="F189" s="145" t="s">
        <v>456</v>
      </c>
      <c r="G189" s="141">
        <v>3150</v>
      </c>
      <c r="H189" s="145"/>
      <c r="I189" s="145"/>
      <c r="J189" s="129"/>
      <c r="K189" s="165"/>
    </row>
    <row r="190" spans="1:11" ht="15" hidden="1" customHeight="1" x14ac:dyDescent="0.25">
      <c r="A190" s="129"/>
      <c r="B190" s="99" t="s">
        <v>457</v>
      </c>
      <c r="C190" s="100" t="s">
        <v>184</v>
      </c>
      <c r="D190" s="104" t="s">
        <v>186</v>
      </c>
      <c r="E190" s="105">
        <v>43410</v>
      </c>
      <c r="F190" s="145" t="s">
        <v>458</v>
      </c>
      <c r="G190" s="141">
        <v>4685</v>
      </c>
      <c r="H190" s="145"/>
      <c r="I190" s="145"/>
      <c r="J190" s="129"/>
      <c r="K190" s="165"/>
    </row>
    <row r="191" spans="1:11" ht="15" hidden="1" customHeight="1" x14ac:dyDescent="0.25">
      <c r="A191" s="129"/>
      <c r="B191" s="99" t="s">
        <v>459</v>
      </c>
      <c r="C191" s="100" t="s">
        <v>184</v>
      </c>
      <c r="D191" s="104" t="s">
        <v>186</v>
      </c>
      <c r="E191" s="105">
        <v>43300</v>
      </c>
      <c r="F191" s="145" t="s">
        <v>460</v>
      </c>
      <c r="G191" s="141">
        <v>3744</v>
      </c>
      <c r="H191" s="145"/>
      <c r="I191" s="145"/>
      <c r="J191" s="129"/>
      <c r="K191" s="165"/>
    </row>
    <row r="192" spans="1:11" ht="15" hidden="1" customHeight="1" x14ac:dyDescent="0.25">
      <c r="A192" s="129"/>
      <c r="B192" s="94" t="s">
        <v>459</v>
      </c>
      <c r="C192" s="100" t="s">
        <v>184</v>
      </c>
      <c r="D192" s="104" t="s">
        <v>186</v>
      </c>
      <c r="E192" s="105">
        <v>43300</v>
      </c>
      <c r="F192" s="145" t="s">
        <v>461</v>
      </c>
      <c r="G192" s="141">
        <v>3744</v>
      </c>
      <c r="H192" s="145"/>
      <c r="I192" s="145"/>
      <c r="J192" s="129"/>
      <c r="K192" s="165"/>
    </row>
    <row r="193" spans="1:11" ht="15" hidden="1" customHeight="1" x14ac:dyDescent="0.25">
      <c r="A193" s="129"/>
      <c r="B193" s="94" t="s">
        <v>462</v>
      </c>
      <c r="C193" s="100" t="s">
        <v>184</v>
      </c>
      <c r="D193" s="104" t="s">
        <v>186</v>
      </c>
      <c r="E193" s="105">
        <v>43445</v>
      </c>
      <c r="F193" s="145" t="s">
        <v>463</v>
      </c>
      <c r="G193" s="141">
        <v>8580</v>
      </c>
      <c r="H193" s="145"/>
      <c r="I193" s="145"/>
      <c r="J193" s="129"/>
      <c r="K193" s="165"/>
    </row>
    <row r="194" spans="1:11" ht="15" hidden="1" customHeight="1" x14ac:dyDescent="0.25">
      <c r="A194" s="129"/>
      <c r="B194" s="99" t="s">
        <v>464</v>
      </c>
      <c r="C194" s="100" t="s">
        <v>184</v>
      </c>
      <c r="D194" s="104" t="s">
        <v>186</v>
      </c>
      <c r="E194" s="105">
        <v>43614</v>
      </c>
      <c r="F194" s="145" t="s">
        <v>465</v>
      </c>
      <c r="G194" s="141">
        <v>5325</v>
      </c>
      <c r="H194" s="145"/>
      <c r="I194" s="145"/>
      <c r="J194" s="129"/>
      <c r="K194" s="165"/>
    </row>
    <row r="195" spans="1:11" ht="15.75" hidden="1" customHeight="1" x14ac:dyDescent="0.25">
      <c r="A195" s="93"/>
      <c r="B195" s="94" t="s">
        <v>466</v>
      </c>
      <c r="C195" s="100" t="s">
        <v>184</v>
      </c>
      <c r="D195" s="104" t="s">
        <v>186</v>
      </c>
      <c r="E195" s="149">
        <v>43403</v>
      </c>
      <c r="F195" s="145" t="s">
        <v>467</v>
      </c>
      <c r="G195" s="143">
        <v>2050</v>
      </c>
      <c r="H195" s="94"/>
      <c r="I195" s="94"/>
      <c r="J195" s="98"/>
      <c r="K195" s="118"/>
    </row>
    <row r="196" spans="1:11" ht="15.75" hidden="1" customHeight="1" x14ac:dyDescent="0.25">
      <c r="A196" s="93"/>
      <c r="B196" s="99" t="s">
        <v>468</v>
      </c>
      <c r="C196" s="100" t="s">
        <v>184</v>
      </c>
      <c r="D196" s="104" t="s">
        <v>186</v>
      </c>
      <c r="E196" s="105">
        <v>43717</v>
      </c>
      <c r="F196" s="145" t="s">
        <v>469</v>
      </c>
      <c r="G196" s="143">
        <v>3200</v>
      </c>
      <c r="H196" s="94"/>
      <c r="I196" s="94"/>
      <c r="J196" s="98"/>
      <c r="K196" s="118"/>
    </row>
    <row r="197" spans="1:11" ht="15.75" hidden="1" customHeight="1" x14ac:dyDescent="0.25">
      <c r="A197" s="93"/>
      <c r="B197" s="99" t="s">
        <v>470</v>
      </c>
      <c r="C197" s="100" t="s">
        <v>184</v>
      </c>
      <c r="D197" s="104" t="s">
        <v>186</v>
      </c>
      <c r="E197" s="105">
        <v>43712</v>
      </c>
      <c r="F197" s="145" t="s">
        <v>471</v>
      </c>
      <c r="G197" s="143">
        <v>1800</v>
      </c>
      <c r="H197" s="94"/>
      <c r="I197" s="94"/>
      <c r="J197" s="98"/>
      <c r="K197" s="118"/>
    </row>
    <row r="198" spans="1:11" ht="15.75" hidden="1" customHeight="1" x14ac:dyDescent="0.25">
      <c r="A198" s="93"/>
      <c r="B198" s="99" t="s">
        <v>472</v>
      </c>
      <c r="C198" s="100" t="s">
        <v>184</v>
      </c>
      <c r="D198" s="104" t="s">
        <v>186</v>
      </c>
      <c r="E198" s="105">
        <v>43908</v>
      </c>
      <c r="F198" s="145" t="s">
        <v>473</v>
      </c>
      <c r="G198" s="143"/>
      <c r="H198" s="94"/>
      <c r="I198" s="94"/>
      <c r="J198" s="98"/>
      <c r="K198" s="118"/>
    </row>
    <row r="199" spans="1:11" ht="15.75" hidden="1" customHeight="1" x14ac:dyDescent="0.25">
      <c r="A199" s="93"/>
      <c r="B199" s="99" t="s">
        <v>474</v>
      </c>
      <c r="C199" s="100" t="s">
        <v>184</v>
      </c>
      <c r="D199" s="104" t="s">
        <v>186</v>
      </c>
      <c r="E199" s="105">
        <v>43908</v>
      </c>
      <c r="F199" s="145" t="s">
        <v>475</v>
      </c>
      <c r="G199" s="143"/>
      <c r="H199" s="94"/>
      <c r="I199" s="94"/>
      <c r="J199" s="98"/>
      <c r="K199" s="118"/>
    </row>
    <row r="200" spans="1:11" ht="15.75" hidden="1" customHeight="1" x14ac:dyDescent="0.25">
      <c r="A200" s="93"/>
      <c r="B200" s="99" t="s">
        <v>476</v>
      </c>
      <c r="C200" s="100" t="s">
        <v>184</v>
      </c>
      <c r="D200" s="104" t="s">
        <v>186</v>
      </c>
      <c r="E200" s="105">
        <v>39975</v>
      </c>
      <c r="F200" s="145" t="s">
        <v>477</v>
      </c>
      <c r="G200" s="143">
        <v>1200</v>
      </c>
      <c r="H200" s="94"/>
      <c r="I200" s="94"/>
      <c r="J200" s="98"/>
      <c r="K200" s="118"/>
    </row>
    <row r="201" spans="1:11" ht="15.75" hidden="1" customHeight="1" x14ac:dyDescent="0.25">
      <c r="A201" s="93"/>
      <c r="B201" s="99" t="s">
        <v>476</v>
      </c>
      <c r="C201" s="100" t="s">
        <v>184</v>
      </c>
      <c r="D201" s="104" t="s">
        <v>186</v>
      </c>
      <c r="E201" s="105">
        <v>39975</v>
      </c>
      <c r="F201" s="145" t="s">
        <v>478</v>
      </c>
      <c r="G201" s="143">
        <v>1200</v>
      </c>
      <c r="H201" s="94"/>
      <c r="I201" s="94"/>
      <c r="J201" s="98"/>
      <c r="K201" s="118"/>
    </row>
    <row r="202" spans="1:11" ht="15.75" hidden="1" customHeight="1" x14ac:dyDescent="0.25">
      <c r="A202" s="93"/>
      <c r="B202" s="99" t="s">
        <v>479</v>
      </c>
      <c r="C202" s="100" t="s">
        <v>184</v>
      </c>
      <c r="D202" s="104" t="s">
        <v>186</v>
      </c>
      <c r="E202" s="105">
        <v>37637</v>
      </c>
      <c r="F202" s="145" t="s">
        <v>480</v>
      </c>
      <c r="G202" s="143">
        <v>535</v>
      </c>
      <c r="H202" s="94"/>
      <c r="I202" s="94"/>
      <c r="J202" s="98"/>
      <c r="K202" s="118"/>
    </row>
    <row r="203" spans="1:11" ht="15.75" hidden="1" customHeight="1" x14ac:dyDescent="0.25">
      <c r="A203" s="93"/>
      <c r="B203" s="99" t="s">
        <v>479</v>
      </c>
      <c r="C203" s="100" t="s">
        <v>184</v>
      </c>
      <c r="D203" s="104" t="s">
        <v>186</v>
      </c>
      <c r="E203" s="105">
        <v>37637</v>
      </c>
      <c r="F203" s="145" t="s">
        <v>481</v>
      </c>
      <c r="G203" s="143">
        <v>535</v>
      </c>
      <c r="H203" s="94"/>
      <c r="I203" s="94"/>
      <c r="J203" s="98"/>
      <c r="K203" s="118"/>
    </row>
    <row r="204" spans="1:11" ht="15.75" hidden="1" customHeight="1" x14ac:dyDescent="0.25">
      <c r="A204" s="93"/>
      <c r="B204" s="99" t="s">
        <v>479</v>
      </c>
      <c r="C204" s="100" t="s">
        <v>184</v>
      </c>
      <c r="D204" s="104" t="s">
        <v>186</v>
      </c>
      <c r="E204" s="105">
        <v>37637</v>
      </c>
      <c r="F204" s="145" t="s">
        <v>482</v>
      </c>
      <c r="G204" s="143">
        <v>535</v>
      </c>
      <c r="H204" s="94"/>
      <c r="I204" s="94"/>
      <c r="J204" s="98"/>
      <c r="K204" s="118"/>
    </row>
    <row r="205" spans="1:11" ht="15.75" hidden="1" customHeight="1" x14ac:dyDescent="0.25">
      <c r="A205" s="93"/>
      <c r="B205" s="99" t="s">
        <v>479</v>
      </c>
      <c r="C205" s="100" t="s">
        <v>184</v>
      </c>
      <c r="D205" s="104" t="s">
        <v>186</v>
      </c>
      <c r="E205" s="105">
        <v>37637</v>
      </c>
      <c r="F205" s="145" t="s">
        <v>483</v>
      </c>
      <c r="G205" s="143">
        <v>535</v>
      </c>
      <c r="H205" s="94"/>
      <c r="I205" s="94"/>
      <c r="J205" s="98"/>
      <c r="K205" s="118"/>
    </row>
    <row r="206" spans="1:11" ht="15" hidden="1" customHeight="1" x14ac:dyDescent="0.25">
      <c r="A206" s="129" t="s">
        <v>484</v>
      </c>
      <c r="B206" s="145"/>
      <c r="C206" s="145"/>
      <c r="D206" s="145"/>
      <c r="E206" s="105"/>
      <c r="F206" s="145"/>
      <c r="G206" s="143"/>
      <c r="H206" s="145"/>
      <c r="I206" s="145"/>
      <c r="J206" s="129"/>
      <c r="K206" s="165"/>
    </row>
    <row r="207" spans="1:11" ht="15" hidden="1" customHeight="1" x14ac:dyDescent="0.25">
      <c r="A207" s="129"/>
      <c r="B207" s="99" t="s">
        <v>485</v>
      </c>
      <c r="C207" s="100" t="s">
        <v>184</v>
      </c>
      <c r="D207" s="104" t="s">
        <v>186</v>
      </c>
      <c r="E207" s="105">
        <v>43495</v>
      </c>
      <c r="F207" s="145" t="s">
        <v>486</v>
      </c>
      <c r="G207" s="143">
        <v>1900</v>
      </c>
      <c r="H207" s="145"/>
      <c r="I207" s="145"/>
      <c r="J207" s="129"/>
      <c r="K207" s="165"/>
    </row>
    <row r="208" spans="1:11" ht="15" hidden="1" customHeight="1" x14ac:dyDescent="0.25">
      <c r="A208" s="129"/>
      <c r="B208" s="99" t="s">
        <v>485</v>
      </c>
      <c r="C208" s="100" t="s">
        <v>184</v>
      </c>
      <c r="D208" s="104" t="s">
        <v>186</v>
      </c>
      <c r="E208" s="105">
        <v>43495</v>
      </c>
      <c r="F208" s="145" t="s">
        <v>487</v>
      </c>
      <c r="G208" s="143">
        <v>1900</v>
      </c>
      <c r="H208" s="145"/>
      <c r="I208" s="145"/>
      <c r="J208" s="129"/>
      <c r="K208" s="165"/>
    </row>
    <row r="209" spans="1:11" ht="15" hidden="1" customHeight="1" x14ac:dyDescent="0.25">
      <c r="A209" s="129" t="s">
        <v>488</v>
      </c>
      <c r="B209" s="145"/>
      <c r="C209" s="145"/>
      <c r="D209" s="145"/>
      <c r="E209" s="105"/>
      <c r="F209" s="145"/>
      <c r="G209" s="143"/>
      <c r="H209" s="145"/>
      <c r="I209" s="145"/>
      <c r="J209" s="129"/>
      <c r="K209" s="165"/>
    </row>
    <row r="210" spans="1:11" ht="30" hidden="1" customHeight="1" x14ac:dyDescent="0.25">
      <c r="A210" s="129"/>
      <c r="B210" s="99" t="s">
        <v>489</v>
      </c>
      <c r="C210" s="100" t="s">
        <v>184</v>
      </c>
      <c r="D210" s="104" t="s">
        <v>186</v>
      </c>
      <c r="E210" s="105">
        <v>39210</v>
      </c>
      <c r="F210" s="145" t="s">
        <v>490</v>
      </c>
      <c r="G210" s="143">
        <v>2749.75</v>
      </c>
      <c r="H210" s="145"/>
      <c r="I210" s="145"/>
      <c r="J210" s="129"/>
      <c r="K210" s="165"/>
    </row>
    <row r="211" spans="1:11" ht="15" hidden="1" customHeight="1" x14ac:dyDescent="0.25">
      <c r="A211" s="129"/>
      <c r="B211" s="99" t="s">
        <v>491</v>
      </c>
      <c r="C211" s="100" t="s">
        <v>184</v>
      </c>
      <c r="D211" s="104" t="s">
        <v>186</v>
      </c>
      <c r="E211" s="105">
        <v>39210</v>
      </c>
      <c r="F211" s="145" t="s">
        <v>492</v>
      </c>
      <c r="G211" s="143">
        <v>2417</v>
      </c>
      <c r="H211" s="145"/>
      <c r="I211" s="145"/>
      <c r="J211" s="129"/>
      <c r="K211" s="165"/>
    </row>
    <row r="212" spans="1:11" ht="15" hidden="1" customHeight="1" x14ac:dyDescent="0.25">
      <c r="A212" s="129"/>
      <c r="B212" s="99" t="s">
        <v>493</v>
      </c>
      <c r="C212" s="100" t="s">
        <v>184</v>
      </c>
      <c r="D212" s="104" t="s">
        <v>186</v>
      </c>
      <c r="E212" s="105">
        <v>39105</v>
      </c>
      <c r="F212" s="145" t="s">
        <v>494</v>
      </c>
      <c r="G212" s="143">
        <v>1100.75</v>
      </c>
      <c r="H212" s="145"/>
      <c r="I212" s="145"/>
      <c r="J212" s="129"/>
      <c r="K212" s="165"/>
    </row>
    <row r="213" spans="1:11" ht="15" hidden="1" customHeight="1" x14ac:dyDescent="0.25">
      <c r="A213" s="129"/>
      <c r="B213" s="99" t="s">
        <v>495</v>
      </c>
      <c r="C213" s="100" t="s">
        <v>184</v>
      </c>
      <c r="D213" s="104" t="s">
        <v>186</v>
      </c>
      <c r="E213" s="105">
        <v>40149</v>
      </c>
      <c r="F213" s="145" t="s">
        <v>496</v>
      </c>
      <c r="G213" s="143">
        <v>2996</v>
      </c>
      <c r="H213" s="145"/>
      <c r="I213" s="145"/>
      <c r="J213" s="129"/>
      <c r="K213" s="165"/>
    </row>
    <row r="214" spans="1:11" ht="15" hidden="1" customHeight="1" x14ac:dyDescent="0.25">
      <c r="A214" s="129"/>
      <c r="B214" s="99" t="s">
        <v>497</v>
      </c>
      <c r="C214" s="100" t="s">
        <v>184</v>
      </c>
      <c r="D214" s="104" t="s">
        <v>186</v>
      </c>
      <c r="E214" s="105">
        <v>40809</v>
      </c>
      <c r="F214" s="145" t="s">
        <v>498</v>
      </c>
      <c r="G214" s="143">
        <v>3486</v>
      </c>
      <c r="H214" s="145"/>
      <c r="I214" s="145"/>
      <c r="J214" s="129"/>
      <c r="K214" s="165"/>
    </row>
    <row r="215" spans="1:11" ht="15" hidden="1" customHeight="1" x14ac:dyDescent="0.25">
      <c r="A215" s="129"/>
      <c r="B215" s="99" t="s">
        <v>499</v>
      </c>
      <c r="C215" s="100" t="s">
        <v>184</v>
      </c>
      <c r="D215" s="104" t="s">
        <v>186</v>
      </c>
      <c r="E215" s="105">
        <v>40809</v>
      </c>
      <c r="F215" s="145" t="s">
        <v>500</v>
      </c>
      <c r="G215" s="143">
        <v>4800</v>
      </c>
      <c r="H215" s="145"/>
      <c r="I215" s="145"/>
      <c r="J215" s="129"/>
      <c r="K215" s="165"/>
    </row>
    <row r="216" spans="1:11" ht="15" hidden="1" customHeight="1" x14ac:dyDescent="0.25">
      <c r="A216" s="129"/>
      <c r="B216" s="99" t="s">
        <v>501</v>
      </c>
      <c r="C216" s="100" t="s">
        <v>184</v>
      </c>
      <c r="D216" s="104" t="s">
        <v>186</v>
      </c>
      <c r="E216" s="105">
        <v>41538</v>
      </c>
      <c r="F216" s="145" t="s">
        <v>502</v>
      </c>
      <c r="G216" s="143">
        <v>1342</v>
      </c>
      <c r="H216" s="145"/>
      <c r="I216" s="145"/>
      <c r="J216" s="129"/>
      <c r="K216" s="165"/>
    </row>
    <row r="217" spans="1:11" ht="15" hidden="1" customHeight="1" x14ac:dyDescent="0.25">
      <c r="A217" s="129"/>
      <c r="B217" s="99" t="s">
        <v>503</v>
      </c>
      <c r="C217" s="100" t="s">
        <v>184</v>
      </c>
      <c r="D217" s="104" t="s">
        <v>186</v>
      </c>
      <c r="E217" s="105">
        <v>41538</v>
      </c>
      <c r="F217" s="145" t="s">
        <v>504</v>
      </c>
      <c r="G217" s="143">
        <v>2662</v>
      </c>
      <c r="H217" s="145"/>
      <c r="I217" s="145"/>
      <c r="J217" s="129"/>
      <c r="K217" s="165"/>
    </row>
    <row r="218" spans="1:11" ht="15" hidden="1" customHeight="1" x14ac:dyDescent="0.25">
      <c r="A218" s="129"/>
      <c r="B218" s="99" t="s">
        <v>503</v>
      </c>
      <c r="C218" s="100" t="s">
        <v>184</v>
      </c>
      <c r="D218" s="104" t="s">
        <v>186</v>
      </c>
      <c r="E218" s="105">
        <v>41538</v>
      </c>
      <c r="F218" s="145" t="s">
        <v>505</v>
      </c>
      <c r="G218" s="143">
        <v>2662</v>
      </c>
      <c r="H218" s="145"/>
      <c r="I218" s="145"/>
      <c r="J218" s="129"/>
      <c r="K218" s="165"/>
    </row>
    <row r="219" spans="1:11" ht="15" hidden="1" customHeight="1" x14ac:dyDescent="0.25">
      <c r="A219" s="129"/>
      <c r="B219" s="99" t="s">
        <v>506</v>
      </c>
      <c r="C219" s="100" t="s">
        <v>184</v>
      </c>
      <c r="D219" s="104" t="s">
        <v>186</v>
      </c>
      <c r="E219" s="105">
        <v>42140</v>
      </c>
      <c r="F219" s="145" t="s">
        <v>507</v>
      </c>
      <c r="G219" s="143">
        <v>4620</v>
      </c>
      <c r="H219" s="145"/>
      <c r="I219" s="145"/>
      <c r="J219" s="129"/>
      <c r="K219" s="165"/>
    </row>
    <row r="220" spans="1:11" ht="15" hidden="1" customHeight="1" x14ac:dyDescent="0.25">
      <c r="A220" s="129" t="s">
        <v>508</v>
      </c>
      <c r="B220" s="145"/>
      <c r="C220" s="100" t="s">
        <v>184</v>
      </c>
      <c r="D220" s="104" t="s">
        <v>186</v>
      </c>
      <c r="E220" s="105"/>
      <c r="F220" s="145"/>
      <c r="G220" s="143"/>
      <c r="H220" s="145"/>
      <c r="I220" s="145"/>
      <c r="J220" s="129"/>
      <c r="K220" s="165"/>
    </row>
    <row r="221" spans="1:11" ht="15" hidden="1" customHeight="1" x14ac:dyDescent="0.25">
      <c r="A221" s="129"/>
      <c r="B221" s="99" t="s">
        <v>509</v>
      </c>
      <c r="C221" s="100" t="s">
        <v>184</v>
      </c>
      <c r="D221" s="104" t="s">
        <v>186</v>
      </c>
      <c r="E221" s="105">
        <v>39660</v>
      </c>
      <c r="F221" s="145" t="s">
        <v>510</v>
      </c>
      <c r="G221" s="143">
        <v>6800</v>
      </c>
      <c r="H221" s="145"/>
      <c r="I221" s="145"/>
      <c r="J221" s="129"/>
      <c r="K221" s="165"/>
    </row>
    <row r="222" spans="1:11" ht="15" hidden="1" customHeight="1" x14ac:dyDescent="0.25">
      <c r="A222" s="129" t="s">
        <v>138</v>
      </c>
      <c r="B222" s="145"/>
      <c r="C222" s="145"/>
      <c r="D222" s="145"/>
      <c r="E222" s="105"/>
      <c r="F222" s="145"/>
      <c r="G222" s="143"/>
      <c r="H222" s="145"/>
      <c r="I222" s="145"/>
      <c r="J222" s="129"/>
      <c r="K222" s="165"/>
    </row>
    <row r="223" spans="1:11" ht="15" hidden="1" customHeight="1" x14ac:dyDescent="0.25">
      <c r="A223" s="129"/>
      <c r="B223" s="145" t="s">
        <v>511</v>
      </c>
      <c r="C223" s="145"/>
      <c r="D223" s="145"/>
      <c r="E223" s="105">
        <v>39506</v>
      </c>
      <c r="F223" s="145" t="s">
        <v>512</v>
      </c>
      <c r="G223" s="143">
        <v>1493</v>
      </c>
      <c r="H223" s="145"/>
      <c r="I223" s="145"/>
      <c r="J223" s="129"/>
      <c r="K223" s="165"/>
    </row>
    <row r="224" spans="1:11" ht="30" hidden="1" customHeight="1" x14ac:dyDescent="0.25">
      <c r="A224" s="129"/>
      <c r="B224" s="94" t="s">
        <v>513</v>
      </c>
      <c r="C224" s="100" t="s">
        <v>184</v>
      </c>
      <c r="D224" s="104" t="s">
        <v>186</v>
      </c>
      <c r="E224" s="149">
        <v>43692</v>
      </c>
      <c r="F224" s="145" t="s">
        <v>514</v>
      </c>
      <c r="G224" s="143">
        <v>5600</v>
      </c>
      <c r="H224" s="145"/>
      <c r="I224" s="145"/>
      <c r="J224" s="129"/>
      <c r="K224" s="165"/>
    </row>
    <row r="225" spans="1:11" ht="30" hidden="1" customHeight="1" x14ac:dyDescent="0.25">
      <c r="A225" s="129"/>
      <c r="B225" s="94" t="s">
        <v>513</v>
      </c>
      <c r="C225" s="100" t="s">
        <v>184</v>
      </c>
      <c r="D225" s="104" t="s">
        <v>186</v>
      </c>
      <c r="E225" s="149">
        <v>43692</v>
      </c>
      <c r="F225" s="145" t="s">
        <v>515</v>
      </c>
      <c r="G225" s="143">
        <v>5600</v>
      </c>
      <c r="H225" s="145"/>
      <c r="I225" s="145"/>
      <c r="J225" s="129"/>
      <c r="K225" s="165"/>
    </row>
    <row r="226" spans="1:11" ht="15.75" hidden="1" customHeight="1" x14ac:dyDescent="0.25">
      <c r="A226" s="93"/>
      <c r="B226" s="99" t="s">
        <v>516</v>
      </c>
      <c r="C226" s="100" t="s">
        <v>184</v>
      </c>
      <c r="D226" s="104" t="s">
        <v>186</v>
      </c>
      <c r="E226" s="105">
        <v>39963</v>
      </c>
      <c r="F226" s="145" t="s">
        <v>517</v>
      </c>
      <c r="G226" s="143">
        <v>8250</v>
      </c>
      <c r="H226" s="94"/>
      <c r="I226" s="94"/>
      <c r="J226" s="98"/>
      <c r="K226" s="118"/>
    </row>
    <row r="227" spans="1:11" ht="15.75" hidden="1" customHeight="1" x14ac:dyDescent="0.25">
      <c r="A227" s="93"/>
      <c r="B227" s="94" t="s">
        <v>518</v>
      </c>
      <c r="C227" s="100" t="s">
        <v>184</v>
      </c>
      <c r="D227" s="104" t="s">
        <v>186</v>
      </c>
      <c r="E227" s="105">
        <v>37673</v>
      </c>
      <c r="F227" s="142" t="s">
        <v>519</v>
      </c>
      <c r="G227" s="143">
        <v>4500</v>
      </c>
      <c r="H227" s="94"/>
      <c r="I227" s="94"/>
      <c r="J227" s="98"/>
      <c r="K227" s="118"/>
    </row>
    <row r="228" spans="1:11" ht="15.75" hidden="1" customHeight="1" x14ac:dyDescent="0.25">
      <c r="A228" s="93"/>
      <c r="B228" s="99" t="s">
        <v>516</v>
      </c>
      <c r="C228" s="100" t="s">
        <v>184</v>
      </c>
      <c r="D228" s="104" t="s">
        <v>186</v>
      </c>
      <c r="E228" s="105">
        <v>39963</v>
      </c>
      <c r="F228" s="145" t="s">
        <v>520</v>
      </c>
      <c r="G228" s="143">
        <v>8250</v>
      </c>
      <c r="H228" s="94"/>
      <c r="I228" s="94"/>
      <c r="J228" s="98"/>
      <c r="K228" s="118"/>
    </row>
    <row r="229" spans="1:11" ht="15.75" hidden="1" customHeight="1" x14ac:dyDescent="0.25">
      <c r="A229" s="93"/>
      <c r="B229" s="99" t="s">
        <v>516</v>
      </c>
      <c r="C229" s="100" t="s">
        <v>184</v>
      </c>
      <c r="D229" s="104" t="s">
        <v>186</v>
      </c>
      <c r="E229" s="105">
        <v>37711</v>
      </c>
      <c r="F229" s="145" t="s">
        <v>521</v>
      </c>
      <c r="G229" s="143">
        <v>3990</v>
      </c>
      <c r="H229" s="94"/>
      <c r="I229" s="94"/>
      <c r="J229" s="98"/>
      <c r="K229" s="118"/>
    </row>
    <row r="230" spans="1:11" ht="15" hidden="1" customHeight="1" x14ac:dyDescent="0.25">
      <c r="A230" s="129"/>
      <c r="B230" s="99" t="s">
        <v>522</v>
      </c>
      <c r="C230" s="100" t="s">
        <v>184</v>
      </c>
      <c r="D230" s="104" t="s">
        <v>186</v>
      </c>
      <c r="E230" s="105">
        <v>38079</v>
      </c>
      <c r="F230" s="145" t="s">
        <v>523</v>
      </c>
      <c r="G230" s="143">
        <v>4145</v>
      </c>
      <c r="H230" s="145"/>
      <c r="I230" s="145"/>
      <c r="J230" s="129"/>
      <c r="K230" s="165"/>
    </row>
    <row r="231" spans="1:11" ht="15.75" hidden="1" customHeight="1" x14ac:dyDescent="0.25">
      <c r="A231" s="93"/>
      <c r="B231" s="145" t="s">
        <v>524</v>
      </c>
      <c r="C231" s="100" t="s">
        <v>184</v>
      </c>
      <c r="D231" s="104" t="s">
        <v>186</v>
      </c>
      <c r="E231" s="105">
        <v>39962</v>
      </c>
      <c r="F231" s="145" t="s">
        <v>525</v>
      </c>
      <c r="G231" s="143">
        <v>8250</v>
      </c>
      <c r="H231" s="94"/>
      <c r="I231" s="94"/>
      <c r="J231" s="98"/>
      <c r="K231" s="118"/>
    </row>
    <row r="232" spans="1:11" ht="15.75" hidden="1" customHeight="1" x14ac:dyDescent="0.25">
      <c r="A232" s="93"/>
      <c r="B232" s="99" t="s">
        <v>516</v>
      </c>
      <c r="C232" s="100" t="s">
        <v>184</v>
      </c>
      <c r="D232" s="104" t="s">
        <v>186</v>
      </c>
      <c r="E232" s="105">
        <v>39962</v>
      </c>
      <c r="F232" s="145" t="s">
        <v>526</v>
      </c>
      <c r="G232" s="146">
        <v>8250</v>
      </c>
      <c r="H232" s="94"/>
      <c r="I232" s="94"/>
      <c r="J232" s="98"/>
      <c r="K232" s="118"/>
    </row>
    <row r="233" spans="1:11" ht="15.75" hidden="1" customHeight="1" x14ac:dyDescent="0.25">
      <c r="A233" s="93"/>
      <c r="B233" s="99" t="s">
        <v>527</v>
      </c>
      <c r="C233" s="100" t="s">
        <v>184</v>
      </c>
      <c r="D233" s="104" t="s">
        <v>186</v>
      </c>
      <c r="E233" s="105">
        <v>39963</v>
      </c>
      <c r="F233" s="145" t="s">
        <v>528</v>
      </c>
      <c r="G233" s="143">
        <v>8250</v>
      </c>
      <c r="H233" s="94"/>
      <c r="I233" s="94"/>
      <c r="J233" s="98"/>
      <c r="K233" s="118"/>
    </row>
    <row r="234" spans="1:11" ht="15" hidden="1" customHeight="1" x14ac:dyDescent="0.25">
      <c r="A234" s="129"/>
      <c r="B234" s="99" t="s">
        <v>516</v>
      </c>
      <c r="C234" s="100" t="s">
        <v>184</v>
      </c>
      <c r="D234" s="104" t="s">
        <v>186</v>
      </c>
      <c r="E234" s="105">
        <v>38236</v>
      </c>
      <c r="F234" s="145" t="s">
        <v>529</v>
      </c>
      <c r="G234" s="143">
        <v>4339</v>
      </c>
      <c r="H234" s="145"/>
      <c r="I234" s="145"/>
      <c r="J234" s="129"/>
      <c r="K234" s="165"/>
    </row>
    <row r="235" spans="1:11" ht="15" hidden="1" customHeight="1" x14ac:dyDescent="0.25">
      <c r="A235" s="129"/>
      <c r="B235" s="99" t="s">
        <v>516</v>
      </c>
      <c r="C235" s="100" t="s">
        <v>184</v>
      </c>
      <c r="D235" s="104" t="s">
        <v>186</v>
      </c>
      <c r="E235" s="105">
        <v>40196</v>
      </c>
      <c r="F235" s="145" t="s">
        <v>530</v>
      </c>
      <c r="G235" s="143">
        <v>8500</v>
      </c>
      <c r="H235" s="145"/>
      <c r="I235" s="145"/>
      <c r="J235" s="129"/>
      <c r="K235" s="165"/>
    </row>
    <row r="236" spans="1:11" ht="15.75" hidden="1" customHeight="1" x14ac:dyDescent="0.25">
      <c r="A236" s="93"/>
      <c r="B236" s="99" t="s">
        <v>531</v>
      </c>
      <c r="C236" s="100" t="s">
        <v>184</v>
      </c>
      <c r="D236" s="104" t="s">
        <v>186</v>
      </c>
      <c r="E236" s="105">
        <v>39963</v>
      </c>
      <c r="F236" s="145" t="s">
        <v>532</v>
      </c>
      <c r="G236" s="143">
        <v>8250</v>
      </c>
      <c r="H236" s="94"/>
      <c r="I236" s="94"/>
      <c r="J236" s="98"/>
      <c r="K236" s="118"/>
    </row>
    <row r="237" spans="1:11" ht="15.75" hidden="1" customHeight="1" x14ac:dyDescent="0.25">
      <c r="A237" s="93"/>
      <c r="B237" s="99" t="s">
        <v>533</v>
      </c>
      <c r="C237" s="100" t="s">
        <v>184</v>
      </c>
      <c r="D237" s="104" t="s">
        <v>186</v>
      </c>
      <c r="E237" s="105">
        <v>38236</v>
      </c>
      <c r="F237" s="145" t="s">
        <v>534</v>
      </c>
      <c r="G237" s="143">
        <v>4339</v>
      </c>
      <c r="H237" s="94"/>
      <c r="I237" s="94"/>
      <c r="J237" s="98"/>
      <c r="K237" s="118"/>
    </row>
    <row r="238" spans="1:11" ht="15.75" hidden="1" customHeight="1" x14ac:dyDescent="0.25">
      <c r="A238" s="93"/>
      <c r="B238" s="99" t="s">
        <v>535</v>
      </c>
      <c r="C238" s="100" t="s">
        <v>184</v>
      </c>
      <c r="D238" s="104" t="s">
        <v>186</v>
      </c>
      <c r="E238" s="105">
        <v>38260</v>
      </c>
      <c r="F238" s="145" t="s">
        <v>536</v>
      </c>
      <c r="G238" s="143">
        <v>4339</v>
      </c>
      <c r="H238" s="94"/>
      <c r="I238" s="94"/>
      <c r="J238" s="98"/>
      <c r="K238" s="118"/>
    </row>
    <row r="239" spans="1:11" ht="15" hidden="1" customHeight="1" x14ac:dyDescent="0.25">
      <c r="A239" s="129"/>
      <c r="B239" s="99" t="s">
        <v>516</v>
      </c>
      <c r="C239" s="100" t="s">
        <v>184</v>
      </c>
      <c r="D239" s="104" t="s">
        <v>186</v>
      </c>
      <c r="E239" s="105">
        <v>40196</v>
      </c>
      <c r="F239" s="145" t="s">
        <v>537</v>
      </c>
      <c r="G239" s="143">
        <v>8500</v>
      </c>
      <c r="H239" s="145"/>
      <c r="I239" s="145"/>
      <c r="J239" s="129"/>
      <c r="K239" s="165"/>
    </row>
    <row r="240" spans="1:11" ht="15" hidden="1" customHeight="1" x14ac:dyDescent="0.25">
      <c r="A240" s="129"/>
      <c r="B240" s="99" t="s">
        <v>518</v>
      </c>
      <c r="C240" s="100" t="s">
        <v>184</v>
      </c>
      <c r="D240" s="104" t="s">
        <v>186</v>
      </c>
      <c r="E240" s="105">
        <v>38236</v>
      </c>
      <c r="F240" s="145" t="s">
        <v>538</v>
      </c>
      <c r="G240" s="143">
        <v>4339</v>
      </c>
      <c r="H240" s="145"/>
      <c r="I240" s="145"/>
      <c r="J240" s="129"/>
      <c r="K240" s="165"/>
    </row>
    <row r="241" spans="1:11" ht="15.75" hidden="1" customHeight="1" x14ac:dyDescent="0.25">
      <c r="A241" s="93"/>
      <c r="B241" s="99" t="s">
        <v>539</v>
      </c>
      <c r="C241" s="100" t="s">
        <v>184</v>
      </c>
      <c r="D241" s="104" t="s">
        <v>186</v>
      </c>
      <c r="E241" s="105">
        <v>40533</v>
      </c>
      <c r="F241" s="142" t="s">
        <v>540</v>
      </c>
      <c r="G241" s="146">
        <v>6890</v>
      </c>
      <c r="H241" s="94"/>
      <c r="I241" s="94"/>
      <c r="J241" s="98"/>
      <c r="K241" s="118"/>
    </row>
    <row r="242" spans="1:11" ht="15.75" hidden="1" customHeight="1" x14ac:dyDescent="0.25">
      <c r="A242" s="93"/>
      <c r="B242" s="142" t="s">
        <v>524</v>
      </c>
      <c r="C242" s="100" t="s">
        <v>184</v>
      </c>
      <c r="D242" s="104" t="s">
        <v>186</v>
      </c>
      <c r="E242" s="147">
        <v>40896</v>
      </c>
      <c r="F242" s="142" t="s">
        <v>541</v>
      </c>
      <c r="G242" s="159">
        <v>9200</v>
      </c>
      <c r="H242" s="94"/>
      <c r="I242" s="94"/>
      <c r="J242" s="98"/>
      <c r="K242" s="118"/>
    </row>
    <row r="243" spans="1:11" ht="15.75" hidden="1" customHeight="1" x14ac:dyDescent="0.25">
      <c r="A243" s="93"/>
      <c r="B243" s="99" t="s">
        <v>535</v>
      </c>
      <c r="C243" s="100" t="s">
        <v>184</v>
      </c>
      <c r="D243" s="104" t="s">
        <v>186</v>
      </c>
      <c r="E243" s="105">
        <v>38236</v>
      </c>
      <c r="F243" s="145" t="s">
        <v>542</v>
      </c>
      <c r="G243" s="143">
        <v>4339</v>
      </c>
      <c r="H243" s="94"/>
      <c r="I243" s="94"/>
      <c r="J243" s="98"/>
      <c r="K243" s="118"/>
    </row>
    <row r="244" spans="1:11" ht="15.75" hidden="1" customHeight="1" x14ac:dyDescent="0.25">
      <c r="A244" s="93"/>
      <c r="B244" s="99" t="s">
        <v>535</v>
      </c>
      <c r="C244" s="100" t="s">
        <v>184</v>
      </c>
      <c r="D244" s="104" t="s">
        <v>186</v>
      </c>
      <c r="E244" s="105">
        <v>38236</v>
      </c>
      <c r="F244" s="145" t="s">
        <v>543</v>
      </c>
      <c r="G244" s="143">
        <v>4339</v>
      </c>
      <c r="H244" s="94"/>
      <c r="I244" s="94"/>
      <c r="J244" s="98"/>
      <c r="K244" s="118"/>
    </row>
    <row r="245" spans="1:11" ht="15" hidden="1" customHeight="1" x14ac:dyDescent="0.25">
      <c r="A245" s="129"/>
      <c r="B245" s="99" t="s">
        <v>518</v>
      </c>
      <c r="C245" s="100" t="s">
        <v>184</v>
      </c>
      <c r="D245" s="104" t="s">
        <v>186</v>
      </c>
      <c r="E245" s="105">
        <v>41499</v>
      </c>
      <c r="F245" s="145" t="s">
        <v>544</v>
      </c>
      <c r="G245" s="143">
        <v>7500</v>
      </c>
      <c r="H245" s="145"/>
      <c r="I245" s="145"/>
      <c r="J245" s="129"/>
      <c r="K245" s="165"/>
    </row>
    <row r="246" spans="1:11" ht="15.75" hidden="1" customHeight="1" x14ac:dyDescent="0.25">
      <c r="A246" s="93"/>
      <c r="B246" s="99" t="s">
        <v>545</v>
      </c>
      <c r="C246" s="100" t="s">
        <v>184</v>
      </c>
      <c r="D246" s="104" t="s">
        <v>186</v>
      </c>
      <c r="E246" s="105">
        <v>39660</v>
      </c>
      <c r="F246" s="145" t="s">
        <v>546</v>
      </c>
      <c r="G246" s="143">
        <v>8000</v>
      </c>
      <c r="H246" s="94"/>
      <c r="I246" s="94"/>
      <c r="J246" s="98"/>
      <c r="K246" s="118"/>
    </row>
    <row r="247" spans="1:11" ht="15.75" hidden="1" customHeight="1" x14ac:dyDescent="0.25">
      <c r="A247" s="93"/>
      <c r="B247" s="99" t="s">
        <v>547</v>
      </c>
      <c r="C247" s="100" t="s">
        <v>184</v>
      </c>
      <c r="D247" s="104" t="s">
        <v>186</v>
      </c>
      <c r="E247" s="105">
        <v>41831</v>
      </c>
      <c r="F247" s="162" t="s">
        <v>548</v>
      </c>
      <c r="G247" s="143">
        <v>6500</v>
      </c>
      <c r="H247" s="94"/>
      <c r="I247" s="94"/>
      <c r="J247" s="98"/>
      <c r="K247" s="118"/>
    </row>
    <row r="248" spans="1:11" ht="17.25" hidden="1" customHeight="1" x14ac:dyDescent="0.25">
      <c r="A248" s="93"/>
      <c r="B248" s="99" t="s">
        <v>549</v>
      </c>
      <c r="C248" s="100" t="s">
        <v>184</v>
      </c>
      <c r="D248" s="104" t="s">
        <v>186</v>
      </c>
      <c r="E248" s="105">
        <v>41950</v>
      </c>
      <c r="F248" s="145" t="s">
        <v>550</v>
      </c>
      <c r="G248" s="143">
        <v>7143</v>
      </c>
      <c r="H248" s="94"/>
      <c r="I248" s="94"/>
      <c r="J248" s="98"/>
      <c r="K248" s="118"/>
    </row>
    <row r="249" spans="1:11" ht="15.75" hidden="1" customHeight="1" x14ac:dyDescent="0.25">
      <c r="A249" s="93"/>
      <c r="B249" s="99" t="s">
        <v>549</v>
      </c>
      <c r="C249" s="100" t="s">
        <v>184</v>
      </c>
      <c r="D249" s="104" t="s">
        <v>186</v>
      </c>
      <c r="E249" s="105">
        <v>42240</v>
      </c>
      <c r="F249" s="145" t="s">
        <v>551</v>
      </c>
      <c r="G249" s="143">
        <v>7143</v>
      </c>
      <c r="H249" s="94"/>
      <c r="I249" s="94"/>
      <c r="J249" s="98"/>
      <c r="K249" s="118"/>
    </row>
    <row r="250" spans="1:11" ht="15.75" hidden="1" customHeight="1" x14ac:dyDescent="0.25">
      <c r="A250" s="93"/>
      <c r="B250" s="99" t="s">
        <v>549</v>
      </c>
      <c r="C250" s="100" t="s">
        <v>184</v>
      </c>
      <c r="D250" s="104" t="s">
        <v>186</v>
      </c>
      <c r="E250" s="105">
        <v>42240</v>
      </c>
      <c r="F250" s="145" t="s">
        <v>552</v>
      </c>
      <c r="G250" s="143">
        <v>7143</v>
      </c>
      <c r="H250" s="94"/>
      <c r="I250" s="94"/>
      <c r="J250" s="98"/>
      <c r="K250" s="118"/>
    </row>
    <row r="251" spans="1:11" ht="15.75" hidden="1" customHeight="1" x14ac:dyDescent="0.25">
      <c r="A251" s="93"/>
      <c r="B251" s="99" t="s">
        <v>549</v>
      </c>
      <c r="C251" s="100" t="s">
        <v>184</v>
      </c>
      <c r="D251" s="104" t="s">
        <v>186</v>
      </c>
      <c r="E251" s="105">
        <v>42601</v>
      </c>
      <c r="F251" s="145" t="s">
        <v>553</v>
      </c>
      <c r="G251" s="143">
        <v>6450</v>
      </c>
      <c r="H251" s="94"/>
      <c r="I251" s="94"/>
      <c r="J251" s="98"/>
      <c r="K251" s="118"/>
    </row>
    <row r="252" spans="1:11" ht="15" hidden="1" customHeight="1" x14ac:dyDescent="0.25">
      <c r="A252" s="129"/>
      <c r="B252" s="99" t="s">
        <v>549</v>
      </c>
      <c r="C252" s="100" t="s">
        <v>184</v>
      </c>
      <c r="D252" s="104" t="s">
        <v>186</v>
      </c>
      <c r="E252" s="105">
        <v>42601</v>
      </c>
      <c r="F252" s="145" t="s">
        <v>554</v>
      </c>
      <c r="G252" s="143">
        <v>6450</v>
      </c>
      <c r="H252" s="94"/>
      <c r="I252" s="94"/>
      <c r="J252" s="98"/>
      <c r="K252" s="118"/>
    </row>
    <row r="253" spans="1:11" ht="15.75" hidden="1" customHeight="1" x14ac:dyDescent="0.25">
      <c r="A253" s="93"/>
      <c r="B253" s="145" t="s">
        <v>555</v>
      </c>
      <c r="C253" s="100" t="s">
        <v>184</v>
      </c>
      <c r="D253" s="104" t="s">
        <v>186</v>
      </c>
      <c r="E253" s="105">
        <v>42601</v>
      </c>
      <c r="F253" s="145" t="s">
        <v>556</v>
      </c>
      <c r="G253" s="143">
        <v>6450</v>
      </c>
      <c r="H253" s="94"/>
      <c r="I253" s="94"/>
      <c r="J253" s="98"/>
      <c r="K253" s="118"/>
    </row>
    <row r="254" spans="1:11" ht="15.75" hidden="1" customHeight="1" x14ac:dyDescent="0.25">
      <c r="A254" s="93"/>
      <c r="B254" s="99" t="s">
        <v>518</v>
      </c>
      <c r="C254" s="100" t="s">
        <v>184</v>
      </c>
      <c r="D254" s="104" t="s">
        <v>186</v>
      </c>
      <c r="E254" s="105">
        <v>42660</v>
      </c>
      <c r="F254" s="142" t="s">
        <v>557</v>
      </c>
      <c r="G254" s="146">
        <v>7200</v>
      </c>
      <c r="H254" s="94"/>
      <c r="I254" s="94"/>
      <c r="J254" s="98"/>
      <c r="K254" s="118"/>
    </row>
    <row r="255" spans="1:11" ht="15.75" hidden="1" customHeight="1" x14ac:dyDescent="0.25">
      <c r="A255" s="93"/>
      <c r="B255" s="99" t="s">
        <v>558</v>
      </c>
      <c r="C255" s="100" t="s">
        <v>184</v>
      </c>
      <c r="D255" s="104" t="s">
        <v>186</v>
      </c>
      <c r="E255" s="105" t="s">
        <v>559</v>
      </c>
      <c r="F255" s="145" t="s">
        <v>560</v>
      </c>
      <c r="G255" s="143">
        <v>7531</v>
      </c>
      <c r="H255" s="94"/>
      <c r="I255" s="94"/>
      <c r="J255" s="98"/>
      <c r="K255" s="118"/>
    </row>
    <row r="256" spans="1:11" ht="15" hidden="1" customHeight="1" x14ac:dyDescent="0.25">
      <c r="A256" s="129"/>
      <c r="B256" s="145" t="s">
        <v>561</v>
      </c>
      <c r="C256" s="100" t="s">
        <v>184</v>
      </c>
      <c r="D256" s="104" t="s">
        <v>186</v>
      </c>
      <c r="E256" s="105">
        <v>43985</v>
      </c>
      <c r="F256" s="145" t="s">
        <v>562</v>
      </c>
      <c r="G256" s="146">
        <v>12500</v>
      </c>
      <c r="H256" s="94"/>
      <c r="I256" s="94"/>
      <c r="J256" s="98"/>
      <c r="K256" s="118"/>
    </row>
    <row r="257" spans="1:11" ht="15" hidden="1" customHeight="1" x14ac:dyDescent="0.25">
      <c r="A257" s="129"/>
      <c r="B257" s="145" t="s">
        <v>563</v>
      </c>
      <c r="C257" s="100"/>
      <c r="D257" s="104"/>
      <c r="E257" s="105">
        <v>44456</v>
      </c>
      <c r="F257" s="145" t="s">
        <v>564</v>
      </c>
      <c r="G257" s="146">
        <v>9495</v>
      </c>
      <c r="H257" s="94"/>
      <c r="I257" s="94"/>
      <c r="J257" s="98"/>
      <c r="K257" s="118"/>
    </row>
    <row r="258" spans="1:11" ht="15" hidden="1" customHeight="1" x14ac:dyDescent="0.25">
      <c r="A258" s="129"/>
      <c r="B258" s="145" t="s">
        <v>563</v>
      </c>
      <c r="C258" s="100"/>
      <c r="D258" s="104"/>
      <c r="E258" s="105">
        <v>44475</v>
      </c>
      <c r="F258" s="145" t="s">
        <v>565</v>
      </c>
      <c r="G258" s="146">
        <v>9495</v>
      </c>
      <c r="H258" s="94"/>
      <c r="I258" s="94"/>
      <c r="J258" s="98"/>
      <c r="K258" s="118"/>
    </row>
    <row r="259" spans="1:11" ht="15" hidden="1" customHeight="1" x14ac:dyDescent="0.25">
      <c r="A259" s="129"/>
      <c r="B259" s="145" t="s">
        <v>563</v>
      </c>
      <c r="C259" s="100"/>
      <c r="D259" s="104"/>
      <c r="E259" s="105">
        <v>44565</v>
      </c>
      <c r="F259" s="145" t="s">
        <v>566</v>
      </c>
      <c r="G259" s="146">
        <v>10495</v>
      </c>
      <c r="H259" s="94"/>
      <c r="I259" s="94"/>
      <c r="J259" s="98"/>
      <c r="K259" s="118"/>
    </row>
    <row r="260" spans="1:11" ht="15.75" hidden="1" customHeight="1" x14ac:dyDescent="0.25">
      <c r="A260" s="93"/>
      <c r="B260" s="145" t="s">
        <v>567</v>
      </c>
      <c r="C260" s="100" t="s">
        <v>184</v>
      </c>
      <c r="D260" s="104" t="s">
        <v>186</v>
      </c>
      <c r="E260" s="105">
        <v>42601</v>
      </c>
      <c r="F260" s="145" t="s">
        <v>568</v>
      </c>
      <c r="G260" s="143">
        <v>8571</v>
      </c>
      <c r="H260" s="94"/>
      <c r="I260" s="94"/>
      <c r="J260" s="98"/>
      <c r="K260" s="118"/>
    </row>
    <row r="261" spans="1:11" ht="15.75" hidden="1" customHeight="1" x14ac:dyDescent="0.25">
      <c r="A261" s="93"/>
      <c r="B261" s="145" t="s">
        <v>569</v>
      </c>
      <c r="C261" s="100" t="s">
        <v>184</v>
      </c>
      <c r="D261" s="104" t="s">
        <v>186</v>
      </c>
      <c r="E261" s="105">
        <v>39979</v>
      </c>
      <c r="F261" s="145" t="s">
        <v>570</v>
      </c>
      <c r="G261" s="143">
        <v>9000</v>
      </c>
      <c r="H261" s="94"/>
      <c r="I261" s="94"/>
      <c r="J261" s="98"/>
      <c r="K261" s="118"/>
    </row>
    <row r="262" spans="1:11" ht="15.75" hidden="1" customHeight="1" x14ac:dyDescent="0.25">
      <c r="A262" s="93"/>
      <c r="B262" s="145" t="s">
        <v>569</v>
      </c>
      <c r="C262" s="100" t="s">
        <v>184</v>
      </c>
      <c r="D262" s="104" t="s">
        <v>186</v>
      </c>
      <c r="E262" s="105">
        <v>40464</v>
      </c>
      <c r="F262" s="145" t="s">
        <v>571</v>
      </c>
      <c r="G262" s="143">
        <v>8427</v>
      </c>
      <c r="H262" s="94"/>
      <c r="I262" s="94"/>
      <c r="J262" s="98"/>
      <c r="K262" s="118"/>
    </row>
    <row r="263" spans="1:11" ht="15.75" hidden="1" customHeight="1" x14ac:dyDescent="0.25">
      <c r="A263" s="93"/>
      <c r="B263" s="145" t="s">
        <v>569</v>
      </c>
      <c r="C263" s="100" t="s">
        <v>184</v>
      </c>
      <c r="D263" s="104" t="s">
        <v>186</v>
      </c>
      <c r="E263" s="105">
        <v>40750</v>
      </c>
      <c r="F263" s="145" t="s">
        <v>572</v>
      </c>
      <c r="G263" s="143">
        <v>9000</v>
      </c>
      <c r="H263" s="94"/>
      <c r="I263" s="94"/>
      <c r="J263" s="98"/>
      <c r="K263" s="118"/>
    </row>
    <row r="264" spans="1:11" ht="15.75" hidden="1" customHeight="1" x14ac:dyDescent="0.25">
      <c r="A264" s="93"/>
      <c r="B264" s="145" t="s">
        <v>569</v>
      </c>
      <c r="C264" s="100" t="s">
        <v>184</v>
      </c>
      <c r="D264" s="104" t="s">
        <v>186</v>
      </c>
      <c r="E264" s="105">
        <v>40829</v>
      </c>
      <c r="F264" s="145" t="s">
        <v>573</v>
      </c>
      <c r="G264" s="143">
        <v>9000</v>
      </c>
      <c r="H264" s="94"/>
      <c r="I264" s="94"/>
      <c r="J264" s="98"/>
      <c r="K264" s="118"/>
    </row>
    <row r="265" spans="1:11" ht="15.75" hidden="1" customHeight="1" x14ac:dyDescent="0.25">
      <c r="A265" s="93"/>
      <c r="B265" s="145" t="s">
        <v>569</v>
      </c>
      <c r="C265" s="100" t="s">
        <v>184</v>
      </c>
      <c r="D265" s="104" t="s">
        <v>186</v>
      </c>
      <c r="E265" s="105">
        <v>41499</v>
      </c>
      <c r="F265" s="145" t="s">
        <v>574</v>
      </c>
      <c r="G265" s="143">
        <v>9000</v>
      </c>
      <c r="H265" s="94"/>
      <c r="I265" s="94"/>
      <c r="J265" s="98"/>
      <c r="K265" s="118"/>
    </row>
    <row r="266" spans="1:11" ht="15" hidden="1" customHeight="1" x14ac:dyDescent="0.25">
      <c r="A266" s="130"/>
      <c r="B266" s="145" t="s">
        <v>567</v>
      </c>
      <c r="C266" s="100" t="s">
        <v>184</v>
      </c>
      <c r="D266" s="104" t="s">
        <v>186</v>
      </c>
      <c r="E266" s="105">
        <v>42601</v>
      </c>
      <c r="F266" s="145" t="s">
        <v>568</v>
      </c>
      <c r="G266" s="143">
        <v>8571</v>
      </c>
      <c r="H266" s="145"/>
      <c r="I266" s="145"/>
      <c r="J266" s="130"/>
      <c r="K266" s="193"/>
    </row>
    <row r="267" spans="1:11" ht="15.75" hidden="1" customHeight="1" x14ac:dyDescent="0.25">
      <c r="A267" s="106"/>
      <c r="B267" s="145" t="s">
        <v>569</v>
      </c>
      <c r="C267" s="100" t="s">
        <v>184</v>
      </c>
      <c r="D267" s="104" t="s">
        <v>186</v>
      </c>
      <c r="E267" s="105">
        <v>42601</v>
      </c>
      <c r="F267" s="145" t="s">
        <v>575</v>
      </c>
      <c r="G267" s="143">
        <v>8571</v>
      </c>
      <c r="H267" s="94"/>
      <c r="I267" s="94"/>
      <c r="J267" s="107"/>
      <c r="K267" s="192"/>
    </row>
    <row r="268" spans="1:11" ht="15.75" hidden="1" customHeight="1" x14ac:dyDescent="0.25">
      <c r="A268" s="106"/>
      <c r="B268" s="145" t="s">
        <v>569</v>
      </c>
      <c r="C268" s="100" t="s">
        <v>184</v>
      </c>
      <c r="D268" s="104" t="s">
        <v>186</v>
      </c>
      <c r="E268" s="105">
        <v>42660</v>
      </c>
      <c r="F268" s="145" t="s">
        <v>576</v>
      </c>
      <c r="G268" s="143">
        <v>8571</v>
      </c>
      <c r="H268" s="94"/>
      <c r="I268" s="94"/>
      <c r="J268" s="107"/>
      <c r="K268" s="192"/>
    </row>
    <row r="269" spans="1:11" ht="15" hidden="1" customHeight="1" x14ac:dyDescent="0.25">
      <c r="A269" s="130"/>
      <c r="B269" s="142" t="s">
        <v>577</v>
      </c>
      <c r="C269" s="100" t="s">
        <v>184</v>
      </c>
      <c r="D269" s="104" t="s">
        <v>186</v>
      </c>
      <c r="E269" s="105">
        <v>27912</v>
      </c>
      <c r="F269" s="145" t="s">
        <v>578</v>
      </c>
      <c r="G269" s="143">
        <v>800</v>
      </c>
      <c r="H269" s="145"/>
      <c r="I269" s="145"/>
      <c r="J269" s="130"/>
      <c r="K269" s="193"/>
    </row>
    <row r="270" spans="1:11" ht="15" hidden="1" customHeight="1" x14ac:dyDescent="0.25">
      <c r="A270" s="130"/>
      <c r="B270" s="99" t="s">
        <v>579</v>
      </c>
      <c r="C270" s="100" t="s">
        <v>184</v>
      </c>
      <c r="D270" s="104" t="s">
        <v>186</v>
      </c>
      <c r="E270" s="105">
        <v>39963</v>
      </c>
      <c r="F270" s="145" t="s">
        <v>580</v>
      </c>
      <c r="G270" s="143">
        <v>805</v>
      </c>
      <c r="H270" s="145"/>
      <c r="I270" s="145"/>
      <c r="J270" s="130"/>
      <c r="K270" s="193"/>
    </row>
    <row r="271" spans="1:11" ht="15" hidden="1" customHeight="1" x14ac:dyDescent="0.25">
      <c r="A271" s="130"/>
      <c r="B271" s="99" t="s">
        <v>581</v>
      </c>
      <c r="C271" s="100" t="s">
        <v>184</v>
      </c>
      <c r="D271" s="104" t="s">
        <v>186</v>
      </c>
      <c r="E271" s="105">
        <v>38776</v>
      </c>
      <c r="F271" s="145" t="s">
        <v>582</v>
      </c>
      <c r="G271" s="143">
        <v>10450</v>
      </c>
      <c r="H271" s="94"/>
      <c r="I271" s="94"/>
      <c r="J271" s="107"/>
      <c r="K271" s="192"/>
    </row>
    <row r="272" spans="1:11" ht="15" hidden="1" customHeight="1" x14ac:dyDescent="0.25">
      <c r="A272" s="130"/>
      <c r="B272" s="145" t="s">
        <v>583</v>
      </c>
      <c r="C272" s="100" t="s">
        <v>184</v>
      </c>
      <c r="D272" s="104" t="s">
        <v>186</v>
      </c>
      <c r="E272" s="105">
        <v>40465</v>
      </c>
      <c r="F272" s="145" t="s">
        <v>584</v>
      </c>
      <c r="G272" s="143">
        <v>8085</v>
      </c>
      <c r="H272" s="94"/>
      <c r="I272" s="94"/>
      <c r="J272" s="107"/>
      <c r="K272" s="192"/>
    </row>
    <row r="273" spans="1:11" ht="15" hidden="1" customHeight="1" x14ac:dyDescent="0.25">
      <c r="A273" s="130"/>
      <c r="B273" s="145" t="s">
        <v>585</v>
      </c>
      <c r="C273" s="100" t="s">
        <v>184</v>
      </c>
      <c r="D273" s="104" t="s">
        <v>186</v>
      </c>
      <c r="E273" s="105">
        <v>43328</v>
      </c>
      <c r="F273" s="145" t="s">
        <v>586</v>
      </c>
      <c r="G273" s="143">
        <v>4025</v>
      </c>
      <c r="H273" s="94"/>
      <c r="I273" s="94"/>
      <c r="J273" s="107"/>
      <c r="K273" s="192"/>
    </row>
    <row r="274" spans="1:11" ht="15" hidden="1" customHeight="1" x14ac:dyDescent="0.25">
      <c r="A274" s="130"/>
      <c r="B274" s="145" t="s">
        <v>587</v>
      </c>
      <c r="C274" s="100" t="s">
        <v>184</v>
      </c>
      <c r="D274" s="104" t="s">
        <v>186</v>
      </c>
      <c r="E274" s="105">
        <v>43352</v>
      </c>
      <c r="F274" s="145" t="s">
        <v>588</v>
      </c>
      <c r="G274" s="143">
        <v>1395</v>
      </c>
      <c r="H274" s="94"/>
      <c r="I274" s="94"/>
      <c r="J274" s="107"/>
      <c r="K274" s="192"/>
    </row>
    <row r="275" spans="1:11" ht="15" hidden="1" customHeight="1" x14ac:dyDescent="0.25">
      <c r="A275" s="130"/>
      <c r="B275" s="99" t="s">
        <v>589</v>
      </c>
      <c r="C275" s="100" t="s">
        <v>184</v>
      </c>
      <c r="D275" s="104" t="s">
        <v>186</v>
      </c>
      <c r="E275" s="105">
        <v>43755</v>
      </c>
      <c r="F275" s="145" t="s">
        <v>590</v>
      </c>
      <c r="G275" s="143">
        <v>6229.75</v>
      </c>
      <c r="H275" s="94"/>
      <c r="I275" s="94"/>
      <c r="J275" s="107"/>
      <c r="K275" s="192"/>
    </row>
    <row r="276" spans="1:11" ht="15" hidden="1" customHeight="1" x14ac:dyDescent="0.25">
      <c r="A276" s="130"/>
      <c r="B276" s="99" t="s">
        <v>591</v>
      </c>
      <c r="C276" s="100" t="s">
        <v>184</v>
      </c>
      <c r="D276" s="104" t="s">
        <v>186</v>
      </c>
      <c r="E276" s="105">
        <v>41829</v>
      </c>
      <c r="F276" s="145" t="s">
        <v>592</v>
      </c>
      <c r="G276" s="143">
        <v>10998</v>
      </c>
      <c r="H276" s="94"/>
      <c r="I276" s="94"/>
      <c r="J276" s="107"/>
      <c r="K276" s="192"/>
    </row>
    <row r="277" spans="1:11" ht="15" hidden="1" customHeight="1" x14ac:dyDescent="0.25">
      <c r="A277" s="106" t="s">
        <v>593</v>
      </c>
      <c r="B277" s="145"/>
      <c r="C277" s="145"/>
      <c r="D277" s="145"/>
      <c r="E277" s="105"/>
      <c r="F277" s="145"/>
      <c r="G277" s="143"/>
      <c r="H277" s="94"/>
      <c r="I277" s="94"/>
      <c r="J277" s="107"/>
      <c r="K277" s="192"/>
    </row>
    <row r="278" spans="1:11" ht="15" hidden="1" customHeight="1" x14ac:dyDescent="0.25">
      <c r="A278" s="130"/>
      <c r="B278" s="99" t="s">
        <v>594</v>
      </c>
      <c r="C278" s="100" t="s">
        <v>184</v>
      </c>
      <c r="D278" s="104" t="s">
        <v>186</v>
      </c>
      <c r="E278" s="105">
        <v>37711</v>
      </c>
      <c r="F278" s="145" t="s">
        <v>595</v>
      </c>
      <c r="G278" s="143">
        <v>12500</v>
      </c>
      <c r="H278" s="94"/>
      <c r="I278" s="94"/>
      <c r="J278" s="107"/>
      <c r="K278" s="192"/>
    </row>
    <row r="279" spans="1:11" ht="15" hidden="1" customHeight="1" x14ac:dyDescent="0.25">
      <c r="A279" s="130"/>
      <c r="B279" s="99" t="s">
        <v>596</v>
      </c>
      <c r="C279" s="100" t="s">
        <v>184</v>
      </c>
      <c r="D279" s="104" t="s">
        <v>186</v>
      </c>
      <c r="E279" s="105">
        <v>38748</v>
      </c>
      <c r="F279" s="145" t="s">
        <v>597</v>
      </c>
      <c r="G279" s="143">
        <v>3000</v>
      </c>
      <c r="H279" s="94"/>
      <c r="I279" s="94"/>
      <c r="J279" s="107"/>
      <c r="K279" s="192"/>
    </row>
    <row r="280" spans="1:11" ht="15" hidden="1" customHeight="1" x14ac:dyDescent="0.25">
      <c r="A280" s="130"/>
      <c r="B280" s="99" t="s">
        <v>598</v>
      </c>
      <c r="C280" s="100" t="s">
        <v>184</v>
      </c>
      <c r="D280" s="104" t="s">
        <v>186</v>
      </c>
      <c r="E280" s="105">
        <v>40451</v>
      </c>
      <c r="F280" s="145" t="s">
        <v>599</v>
      </c>
      <c r="G280" s="143">
        <v>10431</v>
      </c>
      <c r="H280" s="94"/>
      <c r="I280" s="94"/>
      <c r="J280" s="107"/>
      <c r="K280" s="192"/>
    </row>
    <row r="281" spans="1:11" ht="15" hidden="1" customHeight="1" x14ac:dyDescent="0.25">
      <c r="A281" s="130"/>
      <c r="B281" s="145" t="s">
        <v>600</v>
      </c>
      <c r="C281" s="100" t="s">
        <v>184</v>
      </c>
      <c r="D281" s="104" t="s">
        <v>186</v>
      </c>
      <c r="E281" s="105">
        <v>38518</v>
      </c>
      <c r="F281" s="145" t="s">
        <v>601</v>
      </c>
      <c r="G281" s="143">
        <v>1500</v>
      </c>
      <c r="H281" s="94"/>
      <c r="I281" s="94"/>
      <c r="J281" s="107"/>
      <c r="K281" s="192"/>
    </row>
    <row r="282" spans="1:11" ht="15" hidden="1" customHeight="1" x14ac:dyDescent="0.25">
      <c r="A282" s="130"/>
      <c r="B282" s="142" t="s">
        <v>602</v>
      </c>
      <c r="C282" s="100" t="s">
        <v>184</v>
      </c>
      <c r="D282" s="104" t="s">
        <v>186</v>
      </c>
      <c r="E282" s="105">
        <v>35834</v>
      </c>
      <c r="F282" s="142" t="s">
        <v>603</v>
      </c>
      <c r="G282" s="146">
        <v>2900</v>
      </c>
      <c r="H282" s="94"/>
      <c r="I282" s="94"/>
      <c r="J282" s="107"/>
      <c r="K282" s="192"/>
    </row>
    <row r="283" spans="1:11" ht="15" hidden="1" customHeight="1" x14ac:dyDescent="0.25">
      <c r="A283" s="130"/>
      <c r="B283" s="145" t="s">
        <v>600</v>
      </c>
      <c r="C283" s="100" t="s">
        <v>184</v>
      </c>
      <c r="D283" s="104" t="s">
        <v>186</v>
      </c>
      <c r="E283" s="105">
        <v>42725</v>
      </c>
      <c r="F283" s="145" t="s">
        <v>604</v>
      </c>
      <c r="G283" s="146">
        <v>1875</v>
      </c>
      <c r="H283" s="94"/>
      <c r="I283" s="94"/>
      <c r="J283" s="107"/>
      <c r="K283" s="192"/>
    </row>
    <row r="284" spans="1:11" ht="15" hidden="1" customHeight="1" x14ac:dyDescent="0.25">
      <c r="A284" s="130"/>
      <c r="B284" s="145" t="s">
        <v>600</v>
      </c>
      <c r="C284" s="100" t="s">
        <v>184</v>
      </c>
      <c r="D284" s="104" t="s">
        <v>186</v>
      </c>
      <c r="E284" s="105">
        <v>38518</v>
      </c>
      <c r="F284" s="145" t="s">
        <v>605</v>
      </c>
      <c r="G284" s="143">
        <v>1500</v>
      </c>
      <c r="H284" s="94"/>
      <c r="I284" s="94"/>
      <c r="J284" s="107"/>
      <c r="K284" s="192"/>
    </row>
    <row r="285" spans="1:11" ht="15" hidden="1" customHeight="1" x14ac:dyDescent="0.25">
      <c r="A285" s="130"/>
      <c r="B285" s="145" t="s">
        <v>600</v>
      </c>
      <c r="C285" s="100" t="s">
        <v>184</v>
      </c>
      <c r="D285" s="104" t="s">
        <v>186</v>
      </c>
      <c r="E285" s="105">
        <v>39979</v>
      </c>
      <c r="F285" s="142" t="s">
        <v>606</v>
      </c>
      <c r="G285" s="146">
        <v>1450</v>
      </c>
      <c r="H285" s="94"/>
      <c r="I285" s="94"/>
      <c r="J285" s="107"/>
      <c r="K285" s="192"/>
    </row>
    <row r="286" spans="1:11" ht="15" hidden="1" customHeight="1" x14ac:dyDescent="0.25">
      <c r="A286" s="130"/>
      <c r="B286" s="99" t="s">
        <v>607</v>
      </c>
      <c r="C286" s="100" t="s">
        <v>184</v>
      </c>
      <c r="D286" s="104" t="s">
        <v>186</v>
      </c>
      <c r="E286" s="105">
        <v>41235</v>
      </c>
      <c r="F286" s="145" t="s">
        <v>608</v>
      </c>
      <c r="G286" s="143">
        <v>1275</v>
      </c>
      <c r="H286" s="94"/>
      <c r="I286" s="94"/>
      <c r="J286" s="107"/>
      <c r="K286" s="192"/>
    </row>
    <row r="287" spans="1:11" ht="15" hidden="1" customHeight="1" x14ac:dyDescent="0.25">
      <c r="A287" s="130"/>
      <c r="B287" s="145" t="s">
        <v>600</v>
      </c>
      <c r="C287" s="100" t="s">
        <v>184</v>
      </c>
      <c r="D287" s="104" t="s">
        <v>186</v>
      </c>
      <c r="E287" s="105">
        <v>43411</v>
      </c>
      <c r="F287" s="145" t="s">
        <v>609</v>
      </c>
      <c r="G287" s="143">
        <v>1540</v>
      </c>
      <c r="H287" s="94"/>
      <c r="I287" s="94"/>
      <c r="J287" s="107"/>
      <c r="K287" s="192"/>
    </row>
    <row r="288" spans="1:11" ht="15" hidden="1" customHeight="1" x14ac:dyDescent="0.25">
      <c r="A288" s="106" t="s">
        <v>610</v>
      </c>
      <c r="B288" s="145"/>
      <c r="C288" s="94"/>
      <c r="D288" s="94"/>
      <c r="E288" s="105"/>
      <c r="F288" s="145"/>
      <c r="G288" s="146"/>
      <c r="H288" s="94"/>
      <c r="I288" s="94"/>
      <c r="J288" s="107"/>
      <c r="K288" s="192"/>
    </row>
    <row r="289" spans="1:11" ht="15" hidden="1" customHeight="1" x14ac:dyDescent="0.25">
      <c r="A289" s="130"/>
      <c r="B289" s="99" t="s">
        <v>611</v>
      </c>
      <c r="C289" s="100" t="s">
        <v>184</v>
      </c>
      <c r="D289" s="104" t="s">
        <v>186</v>
      </c>
      <c r="E289" s="105">
        <v>40612</v>
      </c>
      <c r="F289" s="145" t="s">
        <v>612</v>
      </c>
      <c r="G289" s="143">
        <v>1300</v>
      </c>
      <c r="H289" s="94"/>
      <c r="I289" s="94"/>
      <c r="J289" s="107"/>
      <c r="K289" s="192"/>
    </row>
    <row r="290" spans="1:11" ht="15" hidden="1" customHeight="1" x14ac:dyDescent="0.25">
      <c r="A290" s="130"/>
      <c r="B290" s="99" t="s">
        <v>613</v>
      </c>
      <c r="C290" s="100" t="s">
        <v>184</v>
      </c>
      <c r="D290" s="104" t="s">
        <v>186</v>
      </c>
      <c r="E290" s="105">
        <v>42621</v>
      </c>
      <c r="F290" s="145" t="s">
        <v>614</v>
      </c>
      <c r="G290" s="143">
        <v>8995</v>
      </c>
      <c r="H290" s="94"/>
      <c r="I290" s="94"/>
      <c r="J290" s="107"/>
      <c r="K290" s="192"/>
    </row>
    <row r="291" spans="1:11" ht="15" hidden="1" customHeight="1" x14ac:dyDescent="0.25">
      <c r="A291" s="106" t="s">
        <v>615</v>
      </c>
      <c r="B291" s="145"/>
      <c r="C291" s="94"/>
      <c r="D291" s="94"/>
      <c r="E291" s="105"/>
      <c r="F291" s="145"/>
      <c r="G291" s="146"/>
      <c r="H291" s="94"/>
      <c r="I291" s="94"/>
      <c r="J291" s="107"/>
      <c r="K291" s="192"/>
    </row>
    <row r="292" spans="1:11" ht="30" hidden="1" customHeight="1" x14ac:dyDescent="0.25">
      <c r="A292" s="106"/>
      <c r="B292" s="134" t="s">
        <v>616</v>
      </c>
      <c r="C292" s="100" t="s">
        <v>184</v>
      </c>
      <c r="D292" s="104" t="s">
        <v>186</v>
      </c>
      <c r="E292" s="163">
        <v>39267</v>
      </c>
      <c r="F292" s="134" t="s">
        <v>617</v>
      </c>
      <c r="G292" s="176">
        <v>5740</v>
      </c>
      <c r="H292" s="94"/>
      <c r="I292" s="94"/>
      <c r="J292" s="107"/>
      <c r="K292" s="192"/>
    </row>
    <row r="293" spans="1:11" ht="15" hidden="1" customHeight="1" x14ac:dyDescent="0.25">
      <c r="A293" s="130"/>
      <c r="B293" s="99" t="s">
        <v>618</v>
      </c>
      <c r="C293" s="100" t="s">
        <v>184</v>
      </c>
      <c r="D293" s="104" t="s">
        <v>186</v>
      </c>
      <c r="E293" s="105">
        <v>34221</v>
      </c>
      <c r="F293" s="145" t="s">
        <v>619</v>
      </c>
      <c r="G293" s="143">
        <v>980</v>
      </c>
      <c r="H293" s="94"/>
      <c r="I293" s="94"/>
      <c r="J293" s="107"/>
      <c r="K293" s="192"/>
    </row>
    <row r="294" spans="1:11" ht="30" hidden="1" customHeight="1" x14ac:dyDescent="0.25">
      <c r="A294" s="106"/>
      <c r="B294" s="99" t="s">
        <v>616</v>
      </c>
      <c r="C294" s="100" t="s">
        <v>184</v>
      </c>
      <c r="D294" s="104" t="s">
        <v>186</v>
      </c>
      <c r="E294" s="147">
        <v>39267</v>
      </c>
      <c r="F294" s="99" t="s">
        <v>620</v>
      </c>
      <c r="G294" s="159">
        <v>5740</v>
      </c>
      <c r="H294" s="94"/>
      <c r="I294" s="94"/>
      <c r="J294" s="107"/>
      <c r="K294" s="192"/>
    </row>
    <row r="295" spans="1:11" ht="15" hidden="1" customHeight="1" x14ac:dyDescent="0.25">
      <c r="A295" s="130"/>
      <c r="B295" s="99" t="s">
        <v>621</v>
      </c>
      <c r="C295" s="100" t="s">
        <v>184</v>
      </c>
      <c r="D295" s="104" t="s">
        <v>186</v>
      </c>
      <c r="E295" s="105">
        <v>38072</v>
      </c>
      <c r="F295" s="145" t="s">
        <v>622</v>
      </c>
      <c r="G295" s="143">
        <v>2350</v>
      </c>
      <c r="H295" s="94"/>
      <c r="I295" s="94"/>
      <c r="J295" s="107"/>
      <c r="K295" s="192"/>
    </row>
    <row r="296" spans="1:11" ht="15" hidden="1" customHeight="1" x14ac:dyDescent="0.25">
      <c r="A296" s="130"/>
      <c r="B296" s="99" t="s">
        <v>623</v>
      </c>
      <c r="C296" s="100" t="s">
        <v>184</v>
      </c>
      <c r="D296" s="104" t="s">
        <v>186</v>
      </c>
      <c r="E296" s="147">
        <v>41379</v>
      </c>
      <c r="F296" s="99" t="s">
        <v>624</v>
      </c>
      <c r="G296" s="159">
        <v>9000</v>
      </c>
      <c r="H296" s="94"/>
      <c r="I296" s="94"/>
      <c r="J296" s="107"/>
      <c r="K296" s="192"/>
    </row>
    <row r="297" spans="1:11" ht="15" hidden="1" customHeight="1" x14ac:dyDescent="0.25">
      <c r="A297" s="130"/>
      <c r="B297" s="99" t="s">
        <v>625</v>
      </c>
      <c r="C297" s="100" t="s">
        <v>184</v>
      </c>
      <c r="D297" s="104" t="s">
        <v>186</v>
      </c>
      <c r="E297" s="105">
        <v>42569</v>
      </c>
      <c r="F297" s="145" t="s">
        <v>626</v>
      </c>
      <c r="G297" s="143">
        <v>680</v>
      </c>
      <c r="H297" s="94"/>
      <c r="I297" s="94"/>
      <c r="J297" s="107"/>
      <c r="K297" s="192"/>
    </row>
    <row r="298" spans="1:11" ht="15" hidden="1" customHeight="1" x14ac:dyDescent="0.25">
      <c r="A298" s="130"/>
      <c r="B298" s="99" t="s">
        <v>627</v>
      </c>
      <c r="C298" s="100" t="s">
        <v>184</v>
      </c>
      <c r="D298" s="104" t="s">
        <v>186</v>
      </c>
      <c r="E298" s="105">
        <v>42569</v>
      </c>
      <c r="F298" s="145" t="s">
        <v>628</v>
      </c>
      <c r="G298" s="143">
        <v>680</v>
      </c>
      <c r="H298" s="94"/>
      <c r="I298" s="94"/>
      <c r="J298" s="107"/>
      <c r="K298" s="192"/>
    </row>
    <row r="299" spans="1:11" ht="15" hidden="1" customHeight="1" x14ac:dyDescent="0.25">
      <c r="A299" s="130"/>
      <c r="B299" s="99" t="s">
        <v>627</v>
      </c>
      <c r="C299" s="100" t="s">
        <v>184</v>
      </c>
      <c r="D299" s="104" t="s">
        <v>186</v>
      </c>
      <c r="E299" s="105">
        <v>42569</v>
      </c>
      <c r="F299" s="145" t="s">
        <v>629</v>
      </c>
      <c r="G299" s="143">
        <v>680</v>
      </c>
      <c r="H299" s="94"/>
      <c r="I299" s="94"/>
      <c r="J299" s="107"/>
      <c r="K299" s="192"/>
    </row>
    <row r="300" spans="1:11" ht="15" hidden="1" customHeight="1" x14ac:dyDescent="0.25">
      <c r="A300" s="130"/>
      <c r="B300" s="99" t="s">
        <v>627</v>
      </c>
      <c r="C300" s="100" t="s">
        <v>184</v>
      </c>
      <c r="D300" s="104" t="s">
        <v>186</v>
      </c>
      <c r="E300" s="105">
        <v>42569</v>
      </c>
      <c r="F300" s="145" t="s">
        <v>630</v>
      </c>
      <c r="G300" s="143">
        <v>680</v>
      </c>
      <c r="H300" s="94"/>
      <c r="I300" s="94"/>
      <c r="J300" s="107"/>
      <c r="K300" s="192"/>
    </row>
    <row r="301" spans="1:11" ht="15" hidden="1" customHeight="1" x14ac:dyDescent="0.25">
      <c r="A301" s="130"/>
      <c r="B301" s="99" t="s">
        <v>627</v>
      </c>
      <c r="C301" s="100" t="s">
        <v>184</v>
      </c>
      <c r="D301" s="104" t="s">
        <v>186</v>
      </c>
      <c r="E301" s="105">
        <v>42569</v>
      </c>
      <c r="F301" s="145" t="s">
        <v>631</v>
      </c>
      <c r="G301" s="143">
        <v>680</v>
      </c>
      <c r="H301" s="94"/>
      <c r="I301" s="94"/>
      <c r="J301" s="107"/>
      <c r="K301" s="192"/>
    </row>
    <row r="302" spans="1:11" ht="15" hidden="1" customHeight="1" x14ac:dyDescent="0.25">
      <c r="A302" s="130"/>
      <c r="B302" s="99" t="s">
        <v>632</v>
      </c>
      <c r="C302" s="100" t="s">
        <v>184</v>
      </c>
      <c r="D302" s="104" t="s">
        <v>186</v>
      </c>
      <c r="E302" s="147">
        <v>42224</v>
      </c>
      <c r="F302" s="99" t="s">
        <v>633</v>
      </c>
      <c r="G302" s="159">
        <v>6168</v>
      </c>
      <c r="H302" s="94"/>
      <c r="I302" s="94"/>
      <c r="J302" s="107"/>
      <c r="K302" s="192"/>
    </row>
    <row r="303" spans="1:11" ht="15" hidden="1" customHeight="1" x14ac:dyDescent="0.25">
      <c r="A303" s="130"/>
      <c r="B303" s="99" t="s">
        <v>632</v>
      </c>
      <c r="C303" s="100" t="s">
        <v>184</v>
      </c>
      <c r="D303" s="104" t="s">
        <v>186</v>
      </c>
      <c r="E303" s="147">
        <v>42224</v>
      </c>
      <c r="F303" s="99" t="s">
        <v>634</v>
      </c>
      <c r="G303" s="159">
        <v>6168</v>
      </c>
      <c r="H303" s="94"/>
      <c r="I303" s="94"/>
      <c r="J303" s="107"/>
      <c r="K303" s="192"/>
    </row>
    <row r="304" spans="1:11" ht="15" hidden="1" customHeight="1" x14ac:dyDescent="0.25">
      <c r="A304" s="130"/>
      <c r="B304" s="99" t="s">
        <v>632</v>
      </c>
      <c r="C304" s="100" t="s">
        <v>184</v>
      </c>
      <c r="D304" s="104" t="s">
        <v>186</v>
      </c>
      <c r="E304" s="147">
        <v>42224</v>
      </c>
      <c r="F304" s="99" t="s">
        <v>635</v>
      </c>
      <c r="G304" s="159">
        <v>6168</v>
      </c>
      <c r="H304" s="94"/>
      <c r="I304" s="94"/>
      <c r="J304" s="107"/>
      <c r="K304" s="192"/>
    </row>
    <row r="305" spans="1:13" ht="15" hidden="1" customHeight="1" x14ac:dyDescent="0.25">
      <c r="A305" s="130"/>
      <c r="B305" s="99" t="s">
        <v>632</v>
      </c>
      <c r="C305" s="100" t="s">
        <v>184</v>
      </c>
      <c r="D305" s="104" t="s">
        <v>186</v>
      </c>
      <c r="E305" s="147">
        <v>42224</v>
      </c>
      <c r="F305" s="99" t="s">
        <v>636</v>
      </c>
      <c r="G305" s="159">
        <v>6168</v>
      </c>
      <c r="H305" s="94"/>
      <c r="I305" s="94"/>
      <c r="J305" s="107"/>
      <c r="K305" s="192"/>
    </row>
    <row r="306" spans="1:13" ht="15" hidden="1" customHeight="1" x14ac:dyDescent="0.25">
      <c r="A306" s="130"/>
      <c r="B306" s="99" t="s">
        <v>632</v>
      </c>
      <c r="C306" s="100" t="s">
        <v>184</v>
      </c>
      <c r="D306" s="104" t="s">
        <v>186</v>
      </c>
      <c r="E306" s="105">
        <v>42224</v>
      </c>
      <c r="F306" s="145" t="s">
        <v>637</v>
      </c>
      <c r="G306" s="143">
        <v>6168</v>
      </c>
      <c r="H306" s="94"/>
      <c r="I306" s="94"/>
      <c r="J306" s="107"/>
      <c r="K306" s="192"/>
    </row>
    <row r="307" spans="1:13" ht="30" hidden="1" customHeight="1" x14ac:dyDescent="0.25">
      <c r="A307" s="130"/>
      <c r="B307" s="99" t="s">
        <v>638</v>
      </c>
      <c r="C307" s="100" t="s">
        <v>184</v>
      </c>
      <c r="D307" s="104" t="s">
        <v>186</v>
      </c>
      <c r="E307" s="105">
        <v>42655</v>
      </c>
      <c r="F307" s="145" t="s">
        <v>639</v>
      </c>
      <c r="G307" s="143">
        <v>13888</v>
      </c>
      <c r="H307" s="94"/>
      <c r="I307" s="94"/>
      <c r="J307" s="107"/>
      <c r="K307" s="192"/>
    </row>
    <row r="308" spans="1:13" ht="15" hidden="1" customHeight="1" x14ac:dyDescent="0.25">
      <c r="A308" s="130"/>
      <c r="B308" s="99" t="s">
        <v>640</v>
      </c>
      <c r="C308" s="100" t="s">
        <v>184</v>
      </c>
      <c r="D308" s="104" t="s">
        <v>186</v>
      </c>
      <c r="E308" s="105">
        <v>39790</v>
      </c>
      <c r="F308" s="145" t="s">
        <v>641</v>
      </c>
      <c r="G308" s="143">
        <v>12800</v>
      </c>
      <c r="H308" s="94"/>
      <c r="I308" s="94"/>
      <c r="J308" s="107"/>
      <c r="K308" s="192"/>
    </row>
    <row r="309" spans="1:13" ht="15" hidden="1" customHeight="1" x14ac:dyDescent="0.25">
      <c r="A309" s="130"/>
      <c r="B309" s="99" t="s">
        <v>642</v>
      </c>
      <c r="C309" s="100" t="s">
        <v>184</v>
      </c>
      <c r="D309" s="104" t="s">
        <v>186</v>
      </c>
      <c r="E309" s="105">
        <v>40329</v>
      </c>
      <c r="F309" s="145" t="s">
        <v>643</v>
      </c>
      <c r="G309" s="143">
        <v>13326</v>
      </c>
      <c r="H309" s="94"/>
      <c r="I309" s="94"/>
      <c r="J309" s="107"/>
      <c r="K309" s="192"/>
    </row>
    <row r="310" spans="1:13" ht="30" hidden="1" customHeight="1" x14ac:dyDescent="0.25">
      <c r="A310" s="130"/>
      <c r="B310" s="99" t="s">
        <v>644</v>
      </c>
      <c r="C310" s="100" t="s">
        <v>184</v>
      </c>
      <c r="D310" s="104" t="s">
        <v>186</v>
      </c>
      <c r="E310" s="105">
        <v>39959</v>
      </c>
      <c r="F310" s="145" t="s">
        <v>645</v>
      </c>
      <c r="G310" s="143">
        <v>11000</v>
      </c>
      <c r="H310" s="94"/>
      <c r="I310" s="94"/>
      <c r="J310" s="107"/>
      <c r="K310" s="192"/>
    </row>
    <row r="311" spans="1:13" ht="15" hidden="1" customHeight="1" x14ac:dyDescent="0.25">
      <c r="A311" s="130"/>
      <c r="B311" s="99" t="s">
        <v>646</v>
      </c>
      <c r="C311" s="100" t="s">
        <v>184</v>
      </c>
      <c r="D311" s="104" t="s">
        <v>186</v>
      </c>
      <c r="E311" s="105">
        <v>40060</v>
      </c>
      <c r="F311" s="145" t="s">
        <v>647</v>
      </c>
      <c r="G311" s="143">
        <v>545.85</v>
      </c>
      <c r="H311" s="94"/>
      <c r="I311" s="94"/>
      <c r="J311" s="107"/>
      <c r="K311" s="192"/>
    </row>
    <row r="312" spans="1:13" ht="15" hidden="1" customHeight="1" x14ac:dyDescent="0.25">
      <c r="A312" s="130"/>
      <c r="B312" s="99" t="s">
        <v>646</v>
      </c>
      <c r="C312" s="100" t="s">
        <v>184</v>
      </c>
      <c r="D312" s="104" t="s">
        <v>186</v>
      </c>
      <c r="E312" s="105">
        <v>40060</v>
      </c>
      <c r="F312" s="145" t="s">
        <v>648</v>
      </c>
      <c r="G312" s="143">
        <v>545.85</v>
      </c>
      <c r="H312" s="94"/>
      <c r="I312" s="94"/>
      <c r="J312" s="107"/>
      <c r="K312" s="192"/>
    </row>
    <row r="313" spans="1:13" ht="15" hidden="1" customHeight="1" x14ac:dyDescent="0.25">
      <c r="A313" s="130"/>
      <c r="B313" s="99" t="s">
        <v>649</v>
      </c>
      <c r="C313" s="100" t="s">
        <v>184</v>
      </c>
      <c r="D313" s="104" t="s">
        <v>186</v>
      </c>
      <c r="E313" s="147">
        <v>40504</v>
      </c>
      <c r="F313" s="99" t="s">
        <v>650</v>
      </c>
      <c r="G313" s="159">
        <v>4500</v>
      </c>
      <c r="H313" s="94"/>
      <c r="I313" s="94"/>
      <c r="J313" s="107"/>
      <c r="K313" s="192"/>
    </row>
    <row r="314" spans="1:13" ht="15" hidden="1" customHeight="1" x14ac:dyDescent="0.25">
      <c r="A314" s="130"/>
      <c r="B314" s="99" t="s">
        <v>651</v>
      </c>
      <c r="C314" s="100" t="s">
        <v>184</v>
      </c>
      <c r="D314" s="104" t="s">
        <v>186</v>
      </c>
      <c r="E314" s="105">
        <v>40060</v>
      </c>
      <c r="F314" s="145" t="s">
        <v>652</v>
      </c>
      <c r="G314" s="143">
        <v>2000</v>
      </c>
      <c r="H314" s="94"/>
      <c r="I314" s="94"/>
      <c r="J314" s="107"/>
      <c r="K314" s="192"/>
    </row>
    <row r="315" spans="1:13" ht="15" hidden="1" customHeight="1" x14ac:dyDescent="0.25">
      <c r="A315" s="106" t="s">
        <v>653</v>
      </c>
      <c r="B315" s="145"/>
      <c r="C315" s="94"/>
      <c r="D315" s="94"/>
      <c r="E315" s="105"/>
      <c r="F315" s="145"/>
      <c r="G315" s="146"/>
      <c r="H315" s="94"/>
      <c r="I315" s="94"/>
      <c r="J315" s="107"/>
      <c r="K315" s="192"/>
    </row>
    <row r="316" spans="1:13" ht="15" hidden="1" customHeight="1" x14ac:dyDescent="0.25">
      <c r="A316" s="130"/>
      <c r="B316" s="99" t="s">
        <v>654</v>
      </c>
      <c r="C316" s="100" t="s">
        <v>184</v>
      </c>
      <c r="D316" s="104" t="s">
        <v>186</v>
      </c>
      <c r="E316" s="105">
        <v>41430</v>
      </c>
      <c r="F316" s="145" t="s">
        <v>655</v>
      </c>
      <c r="G316" s="143">
        <v>1200</v>
      </c>
      <c r="H316" s="94"/>
      <c r="I316" s="94"/>
      <c r="J316" s="107"/>
      <c r="K316" s="192"/>
    </row>
    <row r="317" spans="1:13" ht="15" hidden="1" customHeight="1" x14ac:dyDescent="0.25">
      <c r="A317" s="428" t="s">
        <v>656</v>
      </c>
      <c r="B317" s="428"/>
      <c r="C317" s="428"/>
      <c r="D317" s="428"/>
      <c r="E317" s="428"/>
      <c r="F317" s="428"/>
      <c r="G317" s="164">
        <f>SUM(G13:G316)</f>
        <v>1339851.5300000003</v>
      </c>
      <c r="H317" s="94"/>
      <c r="I317" s="94"/>
      <c r="J317" s="107"/>
      <c r="K317" s="192"/>
    </row>
    <row r="318" spans="1:13" x14ac:dyDescent="0.25">
      <c r="A318" s="108" t="str">
        <f>+RPCPPE!B21</f>
        <v>IT EQUIPMENT AND SOFTWARE</v>
      </c>
      <c r="B318" s="99"/>
      <c r="C318" s="100"/>
      <c r="D318" s="104"/>
      <c r="E318" s="177"/>
      <c r="F318" s="100"/>
      <c r="G318" s="175"/>
      <c r="H318" s="94"/>
      <c r="I318" s="198"/>
      <c r="J318" s="107"/>
      <c r="K318" s="192"/>
      <c r="M318" s="184"/>
    </row>
    <row r="319" spans="1:13" s="136" customFormat="1" ht="45" x14ac:dyDescent="0.25">
      <c r="A319" s="108"/>
      <c r="B319" s="99" t="str">
        <f>+RPCPPE!D23</f>
        <v>B3-420 Notebook 14" Core15-1135g7 / 16B DDR4 / 512GB NVME PCI-E SSD, Intel IRIS XE Graphics, SN# JEXPM22325000059</v>
      </c>
      <c r="C319" s="100" t="s">
        <v>184</v>
      </c>
      <c r="D319" s="104" t="s">
        <v>186</v>
      </c>
      <c r="E319" s="177">
        <f>+RPCPPE!G23</f>
        <v>44883</v>
      </c>
      <c r="F319" s="100" t="str">
        <f>+RPCPPE!E23</f>
        <v>2022-NFA-MSD-DP-T-059</v>
      </c>
      <c r="G319" s="175">
        <f>+RPCPPE!I23</f>
        <v>56400</v>
      </c>
      <c r="H319" s="185">
        <v>55507</v>
      </c>
      <c r="I319" s="198">
        <v>44926</v>
      </c>
      <c r="J319" s="94"/>
      <c r="K319" s="116"/>
      <c r="M319" s="200"/>
    </row>
    <row r="320" spans="1:13" x14ac:dyDescent="0.25">
      <c r="A320" s="108"/>
      <c r="B320" s="178" t="s">
        <v>672</v>
      </c>
      <c r="C320" s="100"/>
      <c r="D320" s="104"/>
      <c r="E320" s="177"/>
      <c r="F320" s="100"/>
      <c r="G320" s="164">
        <f>+G319</f>
        <v>56400</v>
      </c>
      <c r="H320" s="199">
        <f>SUM(H319:H319)</f>
        <v>55507</v>
      </c>
      <c r="I320" s="198"/>
      <c r="J320" s="107"/>
      <c r="K320" s="192"/>
      <c r="M320" s="184"/>
    </row>
    <row r="321" spans="1:12" ht="15.75" customHeight="1" x14ac:dyDescent="0.25">
      <c r="A321" s="437" t="s">
        <v>657</v>
      </c>
      <c r="B321" s="438"/>
      <c r="C321" s="438"/>
      <c r="D321" s="438"/>
      <c r="E321" s="438"/>
      <c r="F321" s="438"/>
      <c r="G321" s="439"/>
      <c r="H321" s="439"/>
      <c r="I321" s="439"/>
      <c r="J321" s="440"/>
      <c r="K321" s="194"/>
    </row>
    <row r="322" spans="1:12" ht="15" customHeight="1" x14ac:dyDescent="0.25">
      <c r="A322" s="441" t="s">
        <v>658</v>
      </c>
      <c r="B322" s="442"/>
      <c r="C322" s="442"/>
      <c r="D322" s="442"/>
      <c r="E322" s="442"/>
      <c r="F322" s="442"/>
      <c r="G322" s="442"/>
      <c r="H322" s="442"/>
      <c r="I322" s="442"/>
      <c r="J322" s="443"/>
      <c r="K322" s="118"/>
      <c r="L322" s="165"/>
    </row>
    <row r="323" spans="1:12" ht="15.75" customHeight="1" x14ac:dyDescent="0.25">
      <c r="A323" s="441" t="s">
        <v>659</v>
      </c>
      <c r="B323" s="442"/>
      <c r="C323" s="442"/>
      <c r="D323" s="442"/>
      <c r="E323" s="442"/>
      <c r="F323" s="442"/>
      <c r="G323" s="442"/>
      <c r="H323" s="442"/>
      <c r="I323" s="442"/>
      <c r="J323" s="443"/>
      <c r="K323" s="118"/>
    </row>
    <row r="324" spans="1:12" ht="6.75" customHeight="1" x14ac:dyDescent="0.25">
      <c r="A324" s="467"/>
      <c r="B324" s="201"/>
      <c r="C324" s="202"/>
      <c r="D324" s="202"/>
      <c r="E324" s="203"/>
      <c r="F324" s="202"/>
      <c r="G324" s="217"/>
      <c r="H324" s="202"/>
      <c r="I324" s="202"/>
      <c r="J324" s="218"/>
      <c r="K324" s="195"/>
    </row>
    <row r="325" spans="1:12" ht="15" customHeight="1" x14ac:dyDescent="0.25">
      <c r="A325" s="444"/>
      <c r="B325" s="204" t="s">
        <v>660</v>
      </c>
      <c r="C325" s="112" t="s">
        <v>661</v>
      </c>
      <c r="D325" s="113"/>
      <c r="E325" s="205"/>
      <c r="F325" s="113" t="s">
        <v>662</v>
      </c>
      <c r="G325" s="114"/>
      <c r="H325" s="113"/>
      <c r="I325" s="113"/>
      <c r="J325" s="115"/>
      <c r="K325" s="118"/>
    </row>
    <row r="326" spans="1:12" x14ac:dyDescent="0.25">
      <c r="A326" s="444"/>
      <c r="B326" s="206"/>
      <c r="C326" s="116"/>
      <c r="D326" s="116"/>
      <c r="E326" s="205"/>
      <c r="F326" s="116"/>
      <c r="G326" s="117"/>
      <c r="H326" s="116"/>
      <c r="I326" s="116"/>
      <c r="J326" s="115"/>
      <c r="K326" s="118"/>
    </row>
    <row r="327" spans="1:12" ht="15" customHeight="1" x14ac:dyDescent="0.25">
      <c r="A327" s="444"/>
      <c r="B327" s="207" t="s">
        <v>84</v>
      </c>
      <c r="C327" s="446" t="s">
        <v>673</v>
      </c>
      <c r="D327" s="446"/>
      <c r="E327" s="205"/>
      <c r="F327" s="447" t="s">
        <v>663</v>
      </c>
      <c r="G327" s="447"/>
      <c r="H327" s="447"/>
      <c r="I327" s="116"/>
      <c r="J327" s="115"/>
      <c r="K327" s="118"/>
    </row>
    <row r="328" spans="1:12" ht="15" customHeight="1" x14ac:dyDescent="0.25">
      <c r="A328" s="444"/>
      <c r="B328" s="208" t="s">
        <v>664</v>
      </c>
      <c r="C328" s="448" t="s">
        <v>665</v>
      </c>
      <c r="D328" s="448"/>
      <c r="E328" s="115" t="s">
        <v>666</v>
      </c>
      <c r="F328" s="449" t="s">
        <v>133</v>
      </c>
      <c r="G328" s="449"/>
      <c r="H328" s="449"/>
      <c r="I328" s="118" t="s">
        <v>666</v>
      </c>
      <c r="J328" s="166"/>
      <c r="K328" s="165"/>
      <c r="L328" s="165"/>
    </row>
    <row r="329" spans="1:12" x14ac:dyDescent="0.25">
      <c r="A329" s="468"/>
      <c r="B329" s="209" t="s">
        <v>667</v>
      </c>
      <c r="C329" s="210" t="s">
        <v>668</v>
      </c>
      <c r="D329" s="211"/>
      <c r="E329" s="212"/>
      <c r="F329" s="465" t="s">
        <v>669</v>
      </c>
      <c r="G329" s="465"/>
      <c r="H329" s="465"/>
      <c r="I329" s="219"/>
      <c r="J329" s="220"/>
      <c r="K329" s="118"/>
    </row>
    <row r="330" spans="1:12" x14ac:dyDescent="0.25">
      <c r="A330" s="167"/>
      <c r="B330" s="168"/>
      <c r="C330" s="168"/>
      <c r="D330" s="168"/>
      <c r="E330" s="169"/>
      <c r="F330" s="168"/>
      <c r="G330" s="154"/>
      <c r="H330" s="168"/>
      <c r="I330" s="168"/>
      <c r="J330" s="166"/>
      <c r="K330" s="165"/>
    </row>
    <row r="331" spans="1:12" s="170" customFormat="1" ht="27.75" customHeight="1" x14ac:dyDescent="0.25">
      <c r="A331" s="434" t="s">
        <v>670</v>
      </c>
      <c r="B331" s="435"/>
      <c r="C331" s="435"/>
      <c r="D331" s="435"/>
      <c r="E331" s="435"/>
      <c r="F331" s="435"/>
      <c r="G331" s="435"/>
      <c r="H331" s="435"/>
      <c r="I331" s="435"/>
      <c r="J331" s="436"/>
      <c r="K331" s="132"/>
    </row>
    <row r="332" spans="1:12" s="170" customFormat="1" x14ac:dyDescent="0.25">
      <c r="A332" s="121" t="s">
        <v>671</v>
      </c>
      <c r="B332" s="171"/>
      <c r="C332" s="171"/>
      <c r="D332" s="171"/>
      <c r="E332" s="172"/>
      <c r="F332" s="171"/>
      <c r="G332" s="173"/>
      <c r="H332" s="171"/>
      <c r="I332" s="171"/>
      <c r="J332" s="174"/>
      <c r="K332" s="196"/>
    </row>
  </sheetData>
  <mergeCells count="26">
    <mergeCell ref="A317:F317"/>
    <mergeCell ref="A2:J2"/>
    <mergeCell ref="A3:J3"/>
    <mergeCell ref="A4:J4"/>
    <mergeCell ref="A5:J5"/>
    <mergeCell ref="A6:J6"/>
    <mergeCell ref="A8:A9"/>
    <mergeCell ref="B8:B9"/>
    <mergeCell ref="C8:C9"/>
    <mergeCell ref="D8:D9"/>
    <mergeCell ref="E8:E9"/>
    <mergeCell ref="F8:F9"/>
    <mergeCell ref="G8:H8"/>
    <mergeCell ref="I8:I9"/>
    <mergeCell ref="J8:J9"/>
    <mergeCell ref="A11:B11"/>
    <mergeCell ref="A331:J331"/>
    <mergeCell ref="A321:J321"/>
    <mergeCell ref="A322:J322"/>
    <mergeCell ref="A323:J323"/>
    <mergeCell ref="A324:A329"/>
    <mergeCell ref="C327:D327"/>
    <mergeCell ref="F327:H327"/>
    <mergeCell ref="C328:D328"/>
    <mergeCell ref="F328:H328"/>
    <mergeCell ref="F329:H329"/>
  </mergeCells>
  <hyperlinks>
    <hyperlink ref="A331" location="_ftnref1" display="_ftnref1"/>
    <hyperlink ref="A332" location="_ftnref2" display="_ftnref2"/>
    <hyperlink ref="C8" location="_ftn1" display="_ftn1"/>
  </hyperlinks>
  <pageMargins left="0.19685039370078741" right="0.19685039370078741" top="0.31496062992125984" bottom="0.19685039370078741" header="0" footer="0"/>
  <pageSetup paperSize="14" scale="9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29</vt:i4>
      </vt:variant>
    </vt:vector>
  </HeadingPairs>
  <TitlesOfParts>
    <vt:vector size="53" baseType="lpstr">
      <vt:lpstr>transmittal</vt:lpstr>
      <vt:lpstr>RPCPPE</vt:lpstr>
      <vt:lpstr>Caperig-1</vt:lpstr>
      <vt:lpstr>Mendoza-2</vt:lpstr>
      <vt:lpstr>Mula-3</vt:lpstr>
      <vt:lpstr>Jariol-4</vt:lpstr>
      <vt:lpstr>Casio-5</vt:lpstr>
      <vt:lpstr>Ravelo-6</vt:lpstr>
      <vt:lpstr>Awing-7</vt:lpstr>
      <vt:lpstr>Bacanggoy-8</vt:lpstr>
      <vt:lpstr>Sabarre-9</vt:lpstr>
      <vt:lpstr>PIF for COA</vt:lpstr>
      <vt:lpstr>AJ Mendoza</vt:lpstr>
      <vt:lpstr>AJ Mendoza.CE</vt:lpstr>
      <vt:lpstr>AJ Mendoza.FFB</vt:lpstr>
      <vt:lpstr>AJ Mendoza.Final</vt:lpstr>
      <vt:lpstr>G Mula</vt:lpstr>
      <vt:lpstr>R. Bacanggoy</vt:lpstr>
      <vt:lpstr>V De Vera</vt:lpstr>
      <vt:lpstr>R. Caperig</vt:lpstr>
      <vt:lpstr>L. Awing</vt:lpstr>
      <vt:lpstr>J. Jariol</vt:lpstr>
      <vt:lpstr>PIF-Fire</vt:lpstr>
      <vt:lpstr>PIF-Floater</vt:lpstr>
      <vt:lpstr>'AJ Mendoza'!Print_Area</vt:lpstr>
      <vt:lpstr>'AJ Mendoza.CE'!Print_Area</vt:lpstr>
      <vt:lpstr>'AJ Mendoza.FFB'!Print_Area</vt:lpstr>
      <vt:lpstr>'AJ Mendoza.Final'!Print_Area</vt:lpstr>
      <vt:lpstr>'G Mula'!Print_Area</vt:lpstr>
      <vt:lpstr>'J. Jariol'!Print_Area</vt:lpstr>
      <vt:lpstr>'L. Awing'!Print_Area</vt:lpstr>
      <vt:lpstr>'PIF for COA'!Print_Area</vt:lpstr>
      <vt:lpstr>'PIF-Fire'!Print_Area</vt:lpstr>
      <vt:lpstr>'PIF-Floater'!Print_Area</vt:lpstr>
      <vt:lpstr>'R. Bacanggoy'!Print_Area</vt:lpstr>
      <vt:lpstr>'R. Caperig'!Print_Area</vt:lpstr>
      <vt:lpstr>RPCPPE!Print_Area</vt:lpstr>
      <vt:lpstr>transmittal!Print_Area</vt:lpstr>
      <vt:lpstr>'V De Vera'!Print_Area</vt:lpstr>
      <vt:lpstr>'AJ Mendoza'!Print_Titles</vt:lpstr>
      <vt:lpstr>'AJ Mendoza.CE'!Print_Titles</vt:lpstr>
      <vt:lpstr>'AJ Mendoza.FFB'!Print_Titles</vt:lpstr>
      <vt:lpstr>'AJ Mendoza.Final'!Print_Titles</vt:lpstr>
      <vt:lpstr>'G Mula'!Print_Titles</vt:lpstr>
      <vt:lpstr>'J. Jariol'!Print_Titles</vt:lpstr>
      <vt:lpstr>'L. Awing'!Print_Titles</vt:lpstr>
      <vt:lpstr>'PIF for COA'!Print_Titles</vt:lpstr>
      <vt:lpstr>'PIF-Fire'!Print_Titles</vt:lpstr>
      <vt:lpstr>'PIF-Floater'!Print_Titles</vt:lpstr>
      <vt:lpstr>'R. Bacanggoy'!Print_Titles</vt:lpstr>
      <vt:lpstr>'R. Caperig'!Print_Titles</vt:lpstr>
      <vt:lpstr>RPCPPE!Print_Titles</vt:lpstr>
      <vt:lpstr>'V De Vera'!Print_Titles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RIO</dc:creator>
  <cp:lastModifiedBy>PMO</cp:lastModifiedBy>
  <cp:lastPrinted>2026-01-15T02:38:08Z</cp:lastPrinted>
  <dcterms:created xsi:type="dcterms:W3CDTF">2021-04-19T00:39:00Z</dcterms:created>
  <dcterms:modified xsi:type="dcterms:W3CDTF">2026-01-15T03:00:58Z</dcterms:modified>
</cp:coreProperties>
</file>